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celso\Documents\FGV-EESP\Open macroeconomics\2026\Cap 6 - replication\"/>
    </mc:Choice>
  </mc:AlternateContent>
  <xr:revisionPtr revIDLastSave="0" documentId="13_ncr:1_{C070CA3D-9F26-4DE2-8565-E1A9AAF0A1A7}" xr6:coauthVersionLast="47" xr6:coauthVersionMax="47" xr10:uidLastSave="{00000000-0000-0000-0000-000000000000}"/>
  <bookViews>
    <workbookView xWindow="-120" yWindow="-120" windowWidth="20730" windowHeight="11040" activeTab="2" xr2:uid="{58001219-D49D-450E-9CE2-A3F044073B30}"/>
  </bookViews>
  <sheets>
    <sheet name="statadata" sheetId="1" r:id="rId1"/>
    <sheet name="BR_extended" sheetId="2" r:id="rId2"/>
    <sheet name="BR_extended_values" sheetId="14" r:id="rId3"/>
    <sheet name="Spread" sheetId="10" r:id="rId4"/>
    <sheet name="Spread synthetic" sheetId="11" r:id="rId5"/>
    <sheet name="Brazil_interest" sheetId="13" r:id="rId6"/>
    <sheet name="PIB" sheetId="3" r:id="rId7"/>
    <sheet name="crescimento PIB" sheetId="4" r:id="rId8"/>
    <sheet name="INV" sheetId="5" r:id="rId9"/>
    <sheet name="balança comercial_bens" sheetId="8" r:id="rId10"/>
    <sheet name="balança comercial" sheetId="6" r:id="rId11"/>
    <sheet name="PIB em dol" sheetId="7" r:id="rId12"/>
    <sheet name="logRus" sheetId="9" r:id="rId13"/>
    <sheet name="US GDP deflator - FRED" sheetId="12"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2" l="1"/>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2"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0" i="2"/>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D203" i="7"/>
  <c r="D204" i="7"/>
  <c r="D205" i="7"/>
  <c r="D206" i="7"/>
  <c r="D207" i="7"/>
  <c r="D208" i="7"/>
  <c r="D209" i="7"/>
  <c r="D210" i="7"/>
  <c r="D211" i="7"/>
  <c r="D212" i="7"/>
  <c r="D213" i="7"/>
  <c r="D214" i="7"/>
  <c r="D215" i="7"/>
  <c r="D216" i="7"/>
  <c r="D217" i="7"/>
  <c r="D218" i="7"/>
  <c r="D219" i="7"/>
  <c r="D220" i="7"/>
  <c r="D221" i="7"/>
  <c r="D222" i="7"/>
  <c r="D223" i="7"/>
  <c r="D224" i="7"/>
  <c r="D225" i="7"/>
  <c r="D226" i="7"/>
  <c r="D227" i="7"/>
  <c r="D228" i="7"/>
  <c r="D229" i="7"/>
  <c r="D230" i="7"/>
  <c r="D231" i="7"/>
  <c r="D232" i="7"/>
  <c r="D233" i="7"/>
  <c r="D234" i="7"/>
  <c r="D235" i="7"/>
  <c r="D236" i="7"/>
  <c r="D237" i="7"/>
  <c r="D238" i="7"/>
  <c r="D239" i="7"/>
  <c r="D240" i="7"/>
  <c r="D241" i="7"/>
  <c r="D242" i="7"/>
  <c r="D243" i="7"/>
  <c r="D244" i="7"/>
  <c r="D245" i="7"/>
  <c r="D246" i="7"/>
  <c r="D247" i="7"/>
  <c r="D248" i="7"/>
  <c r="D249" i="7"/>
  <c r="D250" i="7"/>
  <c r="D251" i="7"/>
  <c r="D252" i="7"/>
  <c r="D253" i="7"/>
  <c r="D254" i="7"/>
  <c r="D255" i="7"/>
  <c r="D256" i="7"/>
  <c r="D257" i="7"/>
  <c r="D258" i="7"/>
  <c r="D259" i="7"/>
  <c r="D260" i="7"/>
  <c r="D261" i="7"/>
  <c r="D262" i="7"/>
  <c r="D263" i="7"/>
  <c r="D264" i="7"/>
  <c r="D265" i="7"/>
  <c r="D266" i="7"/>
  <c r="D267" i="7"/>
  <c r="D268" i="7"/>
  <c r="D269" i="7"/>
  <c r="D270" i="7"/>
  <c r="D271" i="7"/>
  <c r="D272" i="7"/>
  <c r="D273" i="7"/>
  <c r="D274" i="7"/>
  <c r="D275" i="7"/>
  <c r="D276" i="7"/>
  <c r="D277" i="7"/>
  <c r="D278" i="7"/>
  <c r="D279" i="7"/>
  <c r="D280" i="7"/>
  <c r="D281" i="7"/>
  <c r="D282" i="7"/>
  <c r="D283" i="7"/>
  <c r="D284" i="7"/>
  <c r="D285" i="7"/>
  <c r="D286" i="7"/>
  <c r="D287" i="7"/>
  <c r="D288" i="7"/>
  <c r="D289" i="7"/>
  <c r="D290" i="7"/>
  <c r="D291" i="7"/>
  <c r="D292" i="7"/>
  <c r="D293" i="7"/>
  <c r="D294" i="7"/>
  <c r="D295" i="7"/>
  <c r="D296" i="7"/>
  <c r="D297" i="7"/>
  <c r="D298" i="7"/>
  <c r="D299" i="7"/>
  <c r="D300" i="7"/>
  <c r="D301" i="7"/>
  <c r="D302" i="7"/>
  <c r="D303" i="7"/>
  <c r="D304" i="7"/>
  <c r="D305" i="7"/>
  <c r="D306" i="7"/>
  <c r="D307" i="7"/>
  <c r="D308" i="7"/>
  <c r="D309" i="7"/>
  <c r="D310" i="7"/>
  <c r="D311" i="7"/>
  <c r="D312" i="7"/>
  <c r="D313" i="7"/>
  <c r="D314" i="7"/>
  <c r="D315" i="7"/>
  <c r="D316" i="7"/>
  <c r="D317" i="7"/>
  <c r="D318" i="7"/>
  <c r="D319" i="7"/>
  <c r="D320" i="7"/>
  <c r="D321" i="7"/>
  <c r="D322" i="7"/>
  <c r="D323" i="7"/>
  <c r="D324" i="7"/>
  <c r="D325" i="7"/>
  <c r="D326" i="7"/>
  <c r="D327" i="7"/>
  <c r="D328" i="7"/>
  <c r="D329" i="7"/>
  <c r="D330" i="7"/>
  <c r="D331" i="7"/>
  <c r="D332" i="7"/>
  <c r="D333" i="7"/>
  <c r="D334" i="7"/>
  <c r="D335" i="7"/>
  <c r="D336" i="7"/>
  <c r="D337" i="7"/>
  <c r="D338" i="7"/>
  <c r="D339" i="7"/>
  <c r="D340" i="7"/>
  <c r="D341" i="7"/>
  <c r="D342" i="7"/>
  <c r="D343" i="7"/>
  <c r="D344" i="7"/>
  <c r="D345" i="7"/>
  <c r="D346" i="7"/>
  <c r="D347" i="7"/>
  <c r="D348" i="7"/>
  <c r="D349" i="7"/>
  <c r="D350" i="7"/>
  <c r="D351" i="7"/>
  <c r="D352" i="7"/>
  <c r="D353" i="7"/>
  <c r="D354" i="7"/>
  <c r="D355" i="7"/>
  <c r="D356" i="7"/>
  <c r="D357" i="7"/>
  <c r="D358" i="7"/>
  <c r="D359" i="7"/>
  <c r="D360" i="7"/>
  <c r="D361" i="7"/>
  <c r="D362" i="7"/>
  <c r="D363" i="7"/>
  <c r="D364" i="7"/>
  <c r="D365" i="7"/>
  <c r="D366" i="7"/>
  <c r="D367" i="7"/>
  <c r="D368" i="7"/>
  <c r="D369" i="7"/>
  <c r="D370" i="7"/>
  <c r="D371" i="7"/>
  <c r="D372" i="7"/>
  <c r="D373" i="7"/>
  <c r="D374" i="7"/>
  <c r="D375" i="7"/>
  <c r="D376" i="7"/>
  <c r="D377" i="7"/>
  <c r="D378" i="7"/>
  <c r="D379" i="7"/>
  <c r="D380" i="7"/>
  <c r="D381" i="7"/>
  <c r="D382" i="7"/>
  <c r="D383" i="7"/>
  <c r="D384" i="7"/>
  <c r="D385" i="7"/>
  <c r="D386" i="7"/>
  <c r="D387" i="7"/>
  <c r="D388" i="7"/>
  <c r="D389" i="7"/>
  <c r="D390" i="7"/>
  <c r="D391" i="7"/>
  <c r="D392" i="7"/>
  <c r="D393" i="7"/>
  <c r="D394" i="7"/>
  <c r="D395" i="7"/>
  <c r="D396" i="7"/>
  <c r="D397" i="7"/>
  <c r="D398" i="7"/>
  <c r="D399" i="7"/>
  <c r="D400" i="7"/>
  <c r="D401" i="7"/>
  <c r="D402" i="7"/>
  <c r="D403" i="7"/>
  <c r="D404" i="7"/>
  <c r="D405" i="7"/>
  <c r="D406" i="7"/>
  <c r="D407" i="7"/>
  <c r="D408" i="7"/>
  <c r="D409" i="7"/>
  <c r="D410" i="7"/>
  <c r="D411" i="7"/>
  <c r="D412" i="7"/>
  <c r="D413" i="7"/>
  <c r="D414" i="7"/>
  <c r="D415" i="7"/>
  <c r="D416" i="7"/>
  <c r="D417" i="7"/>
  <c r="D418" i="7"/>
  <c r="D419" i="7"/>
  <c r="D420" i="7"/>
  <c r="D421" i="7"/>
  <c r="D422" i="7"/>
  <c r="D423" i="7"/>
  <c r="D424" i="7"/>
  <c r="D425" i="7"/>
  <c r="D426" i="7"/>
  <c r="D427" i="7"/>
  <c r="D428" i="7"/>
  <c r="D429" i="7"/>
  <c r="D430" i="7"/>
  <c r="D431" i="7"/>
  <c r="D432" i="7"/>
  <c r="D433" i="7"/>
  <c r="D434" i="7"/>
  <c r="D435" i="7"/>
  <c r="D436" i="7"/>
  <c r="D437" i="7"/>
  <c r="D438" i="7"/>
  <c r="D439" i="7"/>
  <c r="D440" i="7"/>
  <c r="D5" i="7"/>
  <c r="J4" i="7"/>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0" i="2"/>
  <c r="A34" i="2"/>
  <c r="A35" i="2" s="1"/>
  <c r="A36" i="2" s="1"/>
  <c r="A37" i="2" s="1"/>
  <c r="A38" i="2"/>
  <c r="A42" i="2" s="1"/>
  <c r="A30" i="2"/>
  <c r="A31" i="2" s="1"/>
  <c r="A32" i="2" s="1"/>
  <c r="A33" i="2" s="1"/>
  <c r="G130" i="13"/>
  <c r="J130" i="13" s="1"/>
  <c r="F130" i="13"/>
  <c r="J129" i="13"/>
  <c r="G129" i="13"/>
  <c r="F129" i="13"/>
  <c r="G128" i="13"/>
  <c r="J128" i="13" s="1"/>
  <c r="F128" i="13"/>
  <c r="F127" i="13"/>
  <c r="G127" i="13" s="1"/>
  <c r="J127" i="13" s="1"/>
  <c r="G126" i="13"/>
  <c r="J126" i="13" s="1"/>
  <c r="F126" i="13"/>
  <c r="J125" i="13"/>
  <c r="G125" i="13"/>
  <c r="F125" i="13"/>
  <c r="G124" i="13"/>
  <c r="J124" i="13" s="1"/>
  <c r="F124" i="13"/>
  <c r="F123" i="13"/>
  <c r="G123" i="13" s="1"/>
  <c r="J123" i="13" s="1"/>
  <c r="G122" i="13"/>
  <c r="J122" i="13" s="1"/>
  <c r="F122" i="13"/>
  <c r="J121" i="13"/>
  <c r="G121" i="13"/>
  <c r="F121" i="13"/>
  <c r="G120" i="13"/>
  <c r="J120" i="13" s="1"/>
  <c r="F120" i="13"/>
  <c r="F119" i="13"/>
  <c r="G119" i="13" s="1"/>
  <c r="J119" i="13" s="1"/>
  <c r="G118" i="13"/>
  <c r="J118" i="13" s="1"/>
  <c r="F118" i="13"/>
  <c r="J117" i="13"/>
  <c r="G117" i="13"/>
  <c r="F117" i="13"/>
  <c r="G116" i="13"/>
  <c r="J116" i="13" s="1"/>
  <c r="F116" i="13"/>
  <c r="F115" i="13"/>
  <c r="G115" i="13" s="1"/>
  <c r="J115" i="13" s="1"/>
  <c r="G114" i="13"/>
  <c r="J114" i="13" s="1"/>
  <c r="F114" i="13"/>
  <c r="J113" i="13"/>
  <c r="G113" i="13"/>
  <c r="F113" i="13"/>
  <c r="G112" i="13"/>
  <c r="J112" i="13" s="1"/>
  <c r="F112" i="13"/>
  <c r="F111" i="13"/>
  <c r="G111" i="13" s="1"/>
  <c r="J111" i="13" s="1"/>
  <c r="G110" i="13"/>
  <c r="J110" i="13" s="1"/>
  <c r="F110" i="13"/>
  <c r="J109" i="13"/>
  <c r="G109" i="13"/>
  <c r="F109" i="13"/>
  <c r="G108" i="13"/>
  <c r="J108" i="13" s="1"/>
  <c r="F108" i="13"/>
  <c r="F107" i="13"/>
  <c r="G107" i="13" s="1"/>
  <c r="J107" i="13" s="1"/>
  <c r="G106" i="13"/>
  <c r="J106" i="13" s="1"/>
  <c r="F106" i="13"/>
  <c r="J105" i="13"/>
  <c r="G105" i="13"/>
  <c r="F105" i="13"/>
  <c r="G104" i="13"/>
  <c r="J104" i="13" s="1"/>
  <c r="F104" i="13"/>
  <c r="F103" i="13"/>
  <c r="G103" i="13" s="1"/>
  <c r="J103" i="13" s="1"/>
  <c r="G102" i="13"/>
  <c r="J102" i="13" s="1"/>
  <c r="F102" i="13"/>
  <c r="J101" i="13"/>
  <c r="G101" i="13"/>
  <c r="F101" i="13"/>
  <c r="G100" i="13"/>
  <c r="J100" i="13" s="1"/>
  <c r="F100" i="13"/>
  <c r="F99" i="13"/>
  <c r="G99" i="13" s="1"/>
  <c r="J99" i="13" s="1"/>
  <c r="G98" i="13"/>
  <c r="J98" i="13" s="1"/>
  <c r="F98" i="13"/>
  <c r="J97" i="13"/>
  <c r="G97" i="13"/>
  <c r="F97" i="13"/>
  <c r="G96" i="13"/>
  <c r="J96" i="13" s="1"/>
  <c r="F96" i="13"/>
  <c r="F95" i="13"/>
  <c r="G95" i="13" s="1"/>
  <c r="J95" i="13" s="1"/>
  <c r="G94" i="13"/>
  <c r="J94" i="13" s="1"/>
  <c r="F94" i="13"/>
  <c r="J93" i="13"/>
  <c r="G93" i="13"/>
  <c r="F93" i="13"/>
  <c r="G92" i="13"/>
  <c r="J92" i="13" s="1"/>
  <c r="F92" i="13"/>
  <c r="F91" i="13"/>
  <c r="G91" i="13" s="1"/>
  <c r="J91" i="13" s="1"/>
  <c r="G90" i="13"/>
  <c r="J90" i="13" s="1"/>
  <c r="F90" i="13"/>
  <c r="J89" i="13"/>
  <c r="G89" i="13"/>
  <c r="F89" i="13"/>
  <c r="G88" i="13"/>
  <c r="J88" i="13" s="1"/>
  <c r="F88" i="13"/>
  <c r="F87" i="13"/>
  <c r="G87" i="13" s="1"/>
  <c r="J87" i="13" s="1"/>
  <c r="G86" i="13"/>
  <c r="J86" i="13" s="1"/>
  <c r="F86" i="13"/>
  <c r="J85" i="13"/>
  <c r="G85" i="13"/>
  <c r="F85" i="13"/>
  <c r="G84" i="13"/>
  <c r="J84" i="13" s="1"/>
  <c r="F84" i="13"/>
  <c r="F83" i="13"/>
  <c r="G83" i="13" s="1"/>
  <c r="J83" i="13" s="1"/>
  <c r="G82" i="13"/>
  <c r="J82" i="13" s="1"/>
  <c r="F82" i="13"/>
  <c r="J81" i="13"/>
  <c r="G81" i="13"/>
  <c r="F81" i="13"/>
  <c r="G80" i="13"/>
  <c r="J80" i="13" s="1"/>
  <c r="F80" i="13"/>
  <c r="F79" i="13"/>
  <c r="G79" i="13" s="1"/>
  <c r="J79" i="13" s="1"/>
  <c r="G78" i="13"/>
  <c r="J78" i="13" s="1"/>
  <c r="F78" i="13"/>
  <c r="J77" i="13"/>
  <c r="G77" i="13"/>
  <c r="F77" i="13"/>
  <c r="J76" i="13"/>
  <c r="G76" i="13"/>
  <c r="F76" i="13"/>
  <c r="J75" i="13"/>
  <c r="F75" i="13"/>
  <c r="G75" i="13" s="1"/>
  <c r="J74" i="13"/>
  <c r="G74" i="13"/>
  <c r="F74" i="13"/>
  <c r="J73" i="13"/>
  <c r="G73" i="13"/>
  <c r="F73" i="13"/>
  <c r="J72" i="13"/>
  <c r="G72" i="13"/>
  <c r="F72" i="13"/>
  <c r="J71" i="13"/>
  <c r="F71" i="13"/>
  <c r="G71" i="13" s="1"/>
  <c r="J70" i="13"/>
  <c r="G70" i="13"/>
  <c r="F70" i="13"/>
  <c r="J69" i="13"/>
  <c r="G69" i="13"/>
  <c r="F69" i="13"/>
  <c r="J68" i="13"/>
  <c r="G68" i="13"/>
  <c r="F68" i="13"/>
  <c r="J67" i="13"/>
  <c r="F67" i="13"/>
  <c r="G67" i="13" s="1"/>
  <c r="J66" i="13"/>
  <c r="G66" i="13"/>
  <c r="F66" i="13"/>
  <c r="J65" i="13"/>
  <c r="G65" i="13"/>
  <c r="F65" i="13"/>
  <c r="J64" i="13"/>
  <c r="G64" i="13"/>
  <c r="F64" i="13"/>
  <c r="J63" i="13"/>
  <c r="F63" i="13"/>
  <c r="G63" i="13" s="1"/>
  <c r="J62" i="13"/>
  <c r="G62" i="13"/>
  <c r="F62" i="13"/>
  <c r="J61" i="13"/>
  <c r="G61" i="13"/>
  <c r="F61" i="13"/>
  <c r="J60" i="13"/>
  <c r="G60" i="13"/>
  <c r="F60" i="13"/>
  <c r="J59" i="13"/>
  <c r="F59" i="13"/>
  <c r="G59" i="13" s="1"/>
  <c r="J58" i="13"/>
  <c r="G58" i="13"/>
  <c r="F58" i="13"/>
  <c r="J57" i="13"/>
  <c r="G57" i="13"/>
  <c r="F57" i="13"/>
  <c r="J56" i="13"/>
  <c r="G56" i="13"/>
  <c r="F56" i="13"/>
  <c r="J55" i="13"/>
  <c r="F55" i="13"/>
  <c r="G55" i="13" s="1"/>
  <c r="J54" i="13"/>
  <c r="G54" i="13"/>
  <c r="F54" i="13"/>
  <c r="J53" i="13"/>
  <c r="G53" i="13"/>
  <c r="F53" i="13"/>
  <c r="J52" i="13"/>
  <c r="G52" i="13"/>
  <c r="F52" i="13"/>
  <c r="J51" i="13"/>
  <c r="F51" i="13"/>
  <c r="G51" i="13" s="1"/>
  <c r="J50" i="13"/>
  <c r="G50" i="13"/>
  <c r="F50" i="13"/>
  <c r="J49" i="13"/>
  <c r="G49" i="13"/>
  <c r="F49" i="13"/>
  <c r="J48" i="13"/>
  <c r="G48" i="13"/>
  <c r="F48" i="13"/>
  <c r="J47" i="13"/>
  <c r="F47" i="13"/>
  <c r="G47" i="13" s="1"/>
  <c r="J46" i="13"/>
  <c r="G46" i="13"/>
  <c r="F46" i="13"/>
  <c r="J45" i="13"/>
  <c r="G45" i="13"/>
  <c r="F45" i="13"/>
  <c r="J44" i="13"/>
  <c r="G44" i="13"/>
  <c r="F44" i="13"/>
  <c r="J43" i="13"/>
  <c r="F43" i="13"/>
  <c r="G43" i="13" s="1"/>
  <c r="J42" i="13"/>
  <c r="G42" i="13"/>
  <c r="F42" i="13"/>
  <c r="J41" i="13"/>
  <c r="G41" i="13"/>
  <c r="F41" i="13"/>
  <c r="J40" i="13"/>
  <c r="G40" i="13"/>
  <c r="F40" i="13"/>
  <c r="J39" i="13"/>
  <c r="F39" i="13"/>
  <c r="G39" i="13" s="1"/>
  <c r="J38" i="13"/>
  <c r="G38" i="13"/>
  <c r="F38" i="13"/>
  <c r="J37" i="13"/>
  <c r="G37" i="13"/>
  <c r="F37" i="13"/>
  <c r="J36" i="13"/>
  <c r="G36" i="13"/>
  <c r="F36" i="13"/>
  <c r="J35" i="13"/>
  <c r="F35" i="13"/>
  <c r="G35" i="13" s="1"/>
  <c r="J34" i="13"/>
  <c r="G34" i="13"/>
  <c r="F34" i="13"/>
  <c r="J33" i="13"/>
  <c r="G33" i="13"/>
  <c r="F33" i="13"/>
  <c r="J32" i="13"/>
  <c r="G32" i="13"/>
  <c r="F32" i="13"/>
  <c r="J31" i="13"/>
  <c r="F31" i="13"/>
  <c r="G31" i="13" s="1"/>
  <c r="J30" i="13"/>
  <c r="G30" i="13"/>
  <c r="F30" i="13"/>
  <c r="J29" i="13"/>
  <c r="G29" i="13"/>
  <c r="F29" i="13"/>
  <c r="J28" i="13"/>
  <c r="E28" i="13"/>
  <c r="F28" i="13" s="1"/>
  <c r="G28" i="13" s="1"/>
  <c r="J27" i="13"/>
  <c r="E27" i="13"/>
  <c r="F27" i="13" s="1"/>
  <c r="G27" i="13" s="1"/>
  <c r="J26" i="13"/>
  <c r="J25" i="13"/>
  <c r="E25" i="13"/>
  <c r="F25" i="13" s="1"/>
  <c r="G25" i="13" s="1"/>
  <c r="J24" i="13"/>
  <c r="E24" i="13"/>
  <c r="F24" i="13" s="1"/>
  <c r="G24" i="13" s="1"/>
  <c r="J23" i="13"/>
  <c r="J22" i="13"/>
  <c r="E22" i="13"/>
  <c r="F22" i="13" s="1"/>
  <c r="G22" i="13" s="1"/>
  <c r="J21" i="13"/>
  <c r="E21" i="13"/>
  <c r="F21" i="13" s="1"/>
  <c r="G21" i="13" s="1"/>
  <c r="J20" i="13"/>
  <c r="J19" i="13"/>
  <c r="E19" i="13"/>
  <c r="F19" i="13" s="1"/>
  <c r="G19" i="13" s="1"/>
  <c r="J18" i="13"/>
  <c r="E18" i="13"/>
  <c r="F18" i="13" s="1"/>
  <c r="G18" i="13" s="1"/>
  <c r="J17" i="13"/>
  <c r="J16" i="13"/>
  <c r="E16" i="13"/>
  <c r="F16" i="13" s="1"/>
  <c r="G16" i="13" s="1"/>
  <c r="J15" i="13"/>
  <c r="E15" i="13"/>
  <c r="F15" i="13" s="1"/>
  <c r="G15" i="13" s="1"/>
  <c r="J14" i="13"/>
  <c r="J13" i="13"/>
  <c r="E13" i="13"/>
  <c r="F13" i="13" s="1"/>
  <c r="G13" i="13" s="1"/>
  <c r="J12" i="13"/>
  <c r="E12" i="13"/>
  <c r="F12" i="13" s="1"/>
  <c r="G12" i="13" s="1"/>
  <c r="J11" i="13"/>
  <c r="J10" i="13"/>
  <c r="E10" i="13"/>
  <c r="F10" i="13" s="1"/>
  <c r="G10" i="13" s="1"/>
  <c r="J9" i="13"/>
  <c r="E9" i="13"/>
  <c r="F9" i="13" s="1"/>
  <c r="G9" i="13" s="1"/>
  <c r="J8" i="13"/>
  <c r="J7" i="13"/>
  <c r="E7" i="13"/>
  <c r="F7" i="13" s="1"/>
  <c r="G7" i="13" s="1"/>
  <c r="J6" i="13"/>
  <c r="E6" i="13"/>
  <c r="F6" i="13" s="1"/>
  <c r="G6" i="13" s="1"/>
  <c r="J5" i="13"/>
  <c r="J4" i="13"/>
  <c r="E4" i="13"/>
  <c r="F4" i="13" s="1"/>
  <c r="G4" i="13" s="1"/>
  <c r="J3" i="13"/>
  <c r="E3" i="13"/>
  <c r="F3" i="13" s="1"/>
  <c r="G3" i="13" s="1"/>
  <c r="J2" i="13"/>
  <c r="E26" i="13" s="1"/>
  <c r="F26" i="13" s="1"/>
  <c r="G26" i="13" s="1"/>
  <c r="B132" i="9"/>
  <c r="B133" i="9"/>
  <c r="B134" i="9" s="1"/>
  <c r="B135" i="9" s="1"/>
  <c r="F130" i="11"/>
  <c r="G130" i="11" s="1"/>
  <c r="F129" i="11"/>
  <c r="G129" i="11" s="1"/>
  <c r="F128" i="11"/>
  <c r="G128" i="11" s="1"/>
  <c r="F127" i="11"/>
  <c r="G127" i="11" s="1"/>
  <c r="F126" i="11"/>
  <c r="G126" i="11" s="1"/>
  <c r="F125" i="11"/>
  <c r="G125" i="11" s="1"/>
  <c r="F124" i="11"/>
  <c r="G124" i="11" s="1"/>
  <c r="F123" i="11"/>
  <c r="G123" i="11" s="1"/>
  <c r="F122" i="11"/>
  <c r="G122" i="11" s="1"/>
  <c r="F121" i="11"/>
  <c r="G121" i="11" s="1"/>
  <c r="F120" i="11"/>
  <c r="G120" i="11" s="1"/>
  <c r="F119" i="11"/>
  <c r="G119" i="11" s="1"/>
  <c r="F118" i="11"/>
  <c r="G118" i="11" s="1"/>
  <c r="F117" i="11"/>
  <c r="G117" i="11" s="1"/>
  <c r="F116" i="11"/>
  <c r="G116" i="11" s="1"/>
  <c r="F115" i="11"/>
  <c r="G115" i="11" s="1"/>
  <c r="F114" i="11"/>
  <c r="G114" i="11" s="1"/>
  <c r="F113" i="11"/>
  <c r="G113" i="11" s="1"/>
  <c r="F112" i="11"/>
  <c r="G112" i="11" s="1"/>
  <c r="F111" i="11"/>
  <c r="G111" i="11" s="1"/>
  <c r="F110" i="11"/>
  <c r="G110" i="11" s="1"/>
  <c r="F109" i="11"/>
  <c r="G109" i="11" s="1"/>
  <c r="F108" i="11"/>
  <c r="G108" i="11" s="1"/>
  <c r="F107" i="11"/>
  <c r="G107" i="11" s="1"/>
  <c r="F106" i="11"/>
  <c r="G106" i="11" s="1"/>
  <c r="F105" i="11"/>
  <c r="G105" i="11" s="1"/>
  <c r="F104" i="11"/>
  <c r="G104" i="11" s="1"/>
  <c r="F103" i="11"/>
  <c r="G103" i="11" s="1"/>
  <c r="F102" i="11"/>
  <c r="G102" i="11" s="1"/>
  <c r="F101" i="11"/>
  <c r="G101" i="11" s="1"/>
  <c r="F100" i="11"/>
  <c r="G100" i="11" s="1"/>
  <c r="F99" i="11"/>
  <c r="G99" i="11" s="1"/>
  <c r="F98" i="11"/>
  <c r="G98" i="11" s="1"/>
  <c r="F97" i="11"/>
  <c r="G97" i="11" s="1"/>
  <c r="F96" i="11"/>
  <c r="G96" i="11" s="1"/>
  <c r="F95" i="11"/>
  <c r="G95" i="11" s="1"/>
  <c r="F94" i="11"/>
  <c r="G94" i="11" s="1"/>
  <c r="F93" i="11"/>
  <c r="G93" i="11" s="1"/>
  <c r="F92" i="11"/>
  <c r="G92" i="11" s="1"/>
  <c r="F91" i="11"/>
  <c r="G91" i="11" s="1"/>
  <c r="F90" i="11"/>
  <c r="G90" i="11" s="1"/>
  <c r="F89" i="11"/>
  <c r="G89" i="11" s="1"/>
  <c r="F88" i="11"/>
  <c r="G88" i="11" s="1"/>
  <c r="F87" i="11"/>
  <c r="G87" i="11" s="1"/>
  <c r="F86" i="11"/>
  <c r="G86" i="11" s="1"/>
  <c r="F85" i="11"/>
  <c r="G85" i="11" s="1"/>
  <c r="F84" i="11"/>
  <c r="G84" i="11" s="1"/>
  <c r="F83" i="11"/>
  <c r="G83" i="11" s="1"/>
  <c r="F82" i="11"/>
  <c r="G82" i="11" s="1"/>
  <c r="F81" i="11"/>
  <c r="G81" i="11" s="1"/>
  <c r="F80" i="11"/>
  <c r="G80" i="11" s="1"/>
  <c r="F79" i="11"/>
  <c r="G79" i="11" s="1"/>
  <c r="F78" i="11"/>
  <c r="G78" i="11" s="1"/>
  <c r="F77" i="11"/>
  <c r="G77" i="11" s="1"/>
  <c r="F76" i="11"/>
  <c r="G76" i="11" s="1"/>
  <c r="F75" i="11"/>
  <c r="G75" i="11" s="1"/>
  <c r="F74" i="11"/>
  <c r="G74" i="11" s="1"/>
  <c r="F73" i="11"/>
  <c r="G73" i="11" s="1"/>
  <c r="F72" i="11"/>
  <c r="G72" i="11" s="1"/>
  <c r="F71" i="11"/>
  <c r="G71" i="11" s="1"/>
  <c r="F70" i="11"/>
  <c r="G70" i="11" s="1"/>
  <c r="F69" i="11"/>
  <c r="G69" i="11" s="1"/>
  <c r="F68" i="11"/>
  <c r="G68" i="11" s="1"/>
  <c r="F67" i="11"/>
  <c r="G67" i="11" s="1"/>
  <c r="F66" i="11"/>
  <c r="G66" i="11" s="1"/>
  <c r="F65" i="11"/>
  <c r="G65" i="11" s="1"/>
  <c r="F64" i="11"/>
  <c r="G64" i="11" s="1"/>
  <c r="F63" i="11"/>
  <c r="G63" i="11" s="1"/>
  <c r="F62" i="11"/>
  <c r="G62" i="11" s="1"/>
  <c r="F61" i="11"/>
  <c r="G61" i="11" s="1"/>
  <c r="F60" i="11"/>
  <c r="G60" i="11" s="1"/>
  <c r="F59" i="11"/>
  <c r="G59" i="11" s="1"/>
  <c r="F58" i="11"/>
  <c r="G58" i="11" s="1"/>
  <c r="F57" i="11"/>
  <c r="G57" i="11" s="1"/>
  <c r="F56" i="11"/>
  <c r="G56" i="11" s="1"/>
  <c r="F55" i="11"/>
  <c r="G55" i="11" s="1"/>
  <c r="F54" i="11"/>
  <c r="G54" i="11" s="1"/>
  <c r="F53" i="11"/>
  <c r="G53" i="11" s="1"/>
  <c r="F52" i="11"/>
  <c r="G52" i="11" s="1"/>
  <c r="F51" i="11"/>
  <c r="G51" i="11" s="1"/>
  <c r="F50" i="11"/>
  <c r="G50" i="11" s="1"/>
  <c r="F49" i="11"/>
  <c r="G49" i="11" s="1"/>
  <c r="F48" i="11"/>
  <c r="G48" i="11" s="1"/>
  <c r="F47" i="11"/>
  <c r="G47" i="11" s="1"/>
  <c r="F46" i="11"/>
  <c r="G46" i="11" s="1"/>
  <c r="F45" i="11"/>
  <c r="G45" i="11" s="1"/>
  <c r="F44" i="11"/>
  <c r="G44" i="11" s="1"/>
  <c r="F43" i="11"/>
  <c r="G43" i="11" s="1"/>
  <c r="F42" i="11"/>
  <c r="G42" i="11" s="1"/>
  <c r="F41" i="11"/>
  <c r="G41" i="11" s="1"/>
  <c r="F40" i="11"/>
  <c r="G40" i="11" s="1"/>
  <c r="F39" i="11"/>
  <c r="G39" i="11" s="1"/>
  <c r="F38" i="11"/>
  <c r="G38" i="11" s="1"/>
  <c r="F37" i="11"/>
  <c r="G37" i="11" s="1"/>
  <c r="F36" i="11"/>
  <c r="G36" i="11" s="1"/>
  <c r="F35" i="11"/>
  <c r="G35" i="11" s="1"/>
  <c r="F34" i="11"/>
  <c r="G34" i="11" s="1"/>
  <c r="F33" i="11"/>
  <c r="G33" i="11" s="1"/>
  <c r="F32" i="11"/>
  <c r="G32" i="11" s="1"/>
  <c r="F31" i="11"/>
  <c r="G31" i="11" s="1"/>
  <c r="F30" i="11"/>
  <c r="G30" i="11" s="1"/>
  <c r="F29" i="11"/>
  <c r="G29" i="11" s="1"/>
  <c r="E28" i="11"/>
  <c r="F28" i="11" s="1"/>
  <c r="G28" i="11" s="1"/>
  <c r="E27" i="11"/>
  <c r="F27" i="11" s="1"/>
  <c r="G27" i="11" s="1"/>
  <c r="E26" i="11"/>
  <c r="F26" i="11" s="1"/>
  <c r="G26" i="11" s="1"/>
  <c r="E25" i="11"/>
  <c r="F25" i="11" s="1"/>
  <c r="G25" i="11" s="1"/>
  <c r="E24" i="11"/>
  <c r="F24" i="11" s="1"/>
  <c r="G24" i="11" s="1"/>
  <c r="E23" i="11"/>
  <c r="F23" i="11" s="1"/>
  <c r="G23" i="11" s="1"/>
  <c r="E22" i="11"/>
  <c r="F22" i="11" s="1"/>
  <c r="G22" i="11" s="1"/>
  <c r="E21" i="11"/>
  <c r="F21" i="11" s="1"/>
  <c r="G21" i="11" s="1"/>
  <c r="E20" i="11"/>
  <c r="F20" i="11" s="1"/>
  <c r="G20" i="11" s="1"/>
  <c r="E19" i="11"/>
  <c r="F19" i="11" s="1"/>
  <c r="G19" i="11" s="1"/>
  <c r="E18" i="11"/>
  <c r="F18" i="11" s="1"/>
  <c r="G18" i="11" s="1"/>
  <c r="E17" i="11"/>
  <c r="F17" i="11" s="1"/>
  <c r="G17" i="11" s="1"/>
  <c r="E16" i="11"/>
  <c r="F16" i="11" s="1"/>
  <c r="G16" i="11" s="1"/>
  <c r="E15" i="11"/>
  <c r="F15" i="11" s="1"/>
  <c r="G15" i="11" s="1"/>
  <c r="E14" i="11"/>
  <c r="F14" i="11" s="1"/>
  <c r="G14" i="11" s="1"/>
  <c r="E13" i="11"/>
  <c r="F13" i="11" s="1"/>
  <c r="G13" i="11" s="1"/>
  <c r="E12" i="11"/>
  <c r="F12" i="11" s="1"/>
  <c r="G12" i="11" s="1"/>
  <c r="E11" i="11"/>
  <c r="F11" i="11" s="1"/>
  <c r="G11" i="11" s="1"/>
  <c r="E10" i="11"/>
  <c r="F10" i="11" s="1"/>
  <c r="G10" i="11" s="1"/>
  <c r="E9" i="11"/>
  <c r="F9" i="11" s="1"/>
  <c r="G9" i="11" s="1"/>
  <c r="E8" i="11"/>
  <c r="F8" i="11" s="1"/>
  <c r="G8" i="11" s="1"/>
  <c r="E7" i="11"/>
  <c r="F7" i="11" s="1"/>
  <c r="G7" i="11" s="1"/>
  <c r="E6" i="11"/>
  <c r="F6" i="11" s="1"/>
  <c r="G6" i="11" s="1"/>
  <c r="E5" i="11"/>
  <c r="F5" i="11" s="1"/>
  <c r="G5" i="11" s="1"/>
  <c r="E4" i="11"/>
  <c r="F4" i="11" s="1"/>
  <c r="G4" i="11" s="1"/>
  <c r="E3" i="11"/>
  <c r="F3" i="11" s="1"/>
  <c r="G3" i="11" s="1"/>
  <c r="E2" i="11"/>
  <c r="F2" i="11" s="1"/>
  <c r="G2" i="11" s="1"/>
  <c r="R6" i="10"/>
  <c r="P6" i="10"/>
  <c r="Q6" i="10" s="1"/>
  <c r="E108" i="10"/>
  <c r="H108" i="10" s="1"/>
  <c r="E107" i="10"/>
  <c r="H107" i="10" s="1"/>
  <c r="H106" i="10"/>
  <c r="E106" i="10"/>
  <c r="G106" i="10" s="1"/>
  <c r="E105" i="10"/>
  <c r="H105" i="10" s="1"/>
  <c r="E104" i="10"/>
  <c r="H104" i="10" s="1"/>
  <c r="E103" i="10"/>
  <c r="H103" i="10" s="1"/>
  <c r="H102" i="10"/>
  <c r="E102" i="10"/>
  <c r="G102" i="10" s="1"/>
  <c r="E101" i="10"/>
  <c r="H101" i="10" s="1"/>
  <c r="E100" i="10"/>
  <c r="H100" i="10" s="1"/>
  <c r="E99" i="10"/>
  <c r="H99" i="10" s="1"/>
  <c r="H98" i="10"/>
  <c r="E98" i="10"/>
  <c r="G98" i="10" s="1"/>
  <c r="E97" i="10"/>
  <c r="H97" i="10" s="1"/>
  <c r="E96" i="10"/>
  <c r="H96" i="10" s="1"/>
  <c r="E95" i="10"/>
  <c r="H95" i="10" s="1"/>
  <c r="H94" i="10"/>
  <c r="E94" i="10"/>
  <c r="G94" i="10" s="1"/>
  <c r="E93" i="10"/>
  <c r="H93" i="10" s="1"/>
  <c r="E92" i="10"/>
  <c r="H92" i="10" s="1"/>
  <c r="E91" i="10"/>
  <c r="H91" i="10" s="1"/>
  <c r="H90" i="10"/>
  <c r="E90" i="10"/>
  <c r="G90" i="10" s="1"/>
  <c r="E89" i="10"/>
  <c r="H89" i="10" s="1"/>
  <c r="E88" i="10"/>
  <c r="H88" i="10" s="1"/>
  <c r="E87" i="10"/>
  <c r="H87" i="10" s="1"/>
  <c r="H86" i="10"/>
  <c r="E86" i="10"/>
  <c r="G86" i="10" s="1"/>
  <c r="E85" i="10"/>
  <c r="H85" i="10" s="1"/>
  <c r="E84" i="10"/>
  <c r="H84" i="10" s="1"/>
  <c r="E83" i="10"/>
  <c r="H83" i="10" s="1"/>
  <c r="H82" i="10"/>
  <c r="E82" i="10"/>
  <c r="G82" i="10" s="1"/>
  <c r="E81" i="10"/>
  <c r="H81" i="10" s="1"/>
  <c r="E80" i="10"/>
  <c r="H80" i="10" s="1"/>
  <c r="E79" i="10"/>
  <c r="H79" i="10" s="1"/>
  <c r="H78" i="10"/>
  <c r="E78" i="10"/>
  <c r="G78" i="10" s="1"/>
  <c r="E77" i="10"/>
  <c r="H77" i="10" s="1"/>
  <c r="E76" i="10"/>
  <c r="H76" i="10" s="1"/>
  <c r="E75" i="10"/>
  <c r="H75" i="10" s="1"/>
  <c r="H74" i="10"/>
  <c r="E74" i="10"/>
  <c r="G74" i="10" s="1"/>
  <c r="E73" i="10"/>
  <c r="H73" i="10" s="1"/>
  <c r="E72" i="10"/>
  <c r="H72" i="10" s="1"/>
  <c r="E71" i="10"/>
  <c r="H71" i="10" s="1"/>
  <c r="H70" i="10"/>
  <c r="E70" i="10"/>
  <c r="G70" i="10" s="1"/>
  <c r="E69" i="10"/>
  <c r="H69" i="10" s="1"/>
  <c r="E68" i="10"/>
  <c r="H68" i="10" s="1"/>
  <c r="E67" i="10"/>
  <c r="H67" i="10" s="1"/>
  <c r="H66" i="10"/>
  <c r="E66" i="10"/>
  <c r="G66" i="10" s="1"/>
  <c r="E65" i="10"/>
  <c r="H65" i="10" s="1"/>
  <c r="E64" i="10"/>
  <c r="H64" i="10" s="1"/>
  <c r="E63" i="10"/>
  <c r="H63" i="10" s="1"/>
  <c r="H62" i="10"/>
  <c r="E62" i="10"/>
  <c r="G62" i="10" s="1"/>
  <c r="E61" i="10"/>
  <c r="H61" i="10" s="1"/>
  <c r="E60" i="10"/>
  <c r="H60" i="10" s="1"/>
  <c r="E59" i="10"/>
  <c r="H59" i="10" s="1"/>
  <c r="H58" i="10"/>
  <c r="E58" i="10"/>
  <c r="G58" i="10" s="1"/>
  <c r="E57" i="10"/>
  <c r="H57" i="10" s="1"/>
  <c r="E56" i="10"/>
  <c r="H56" i="10" s="1"/>
  <c r="E55" i="10"/>
  <c r="H55" i="10" s="1"/>
  <c r="H54" i="10"/>
  <c r="E54" i="10"/>
  <c r="G54" i="10" s="1"/>
  <c r="H53" i="10"/>
  <c r="G53" i="10"/>
  <c r="E53" i="10"/>
  <c r="H52" i="10"/>
  <c r="E52" i="10"/>
  <c r="G52" i="10" s="1"/>
  <c r="H51" i="10"/>
  <c r="E51" i="10"/>
  <c r="G51" i="10" s="1"/>
  <c r="H50" i="10"/>
  <c r="G50" i="10"/>
  <c r="E50" i="10"/>
  <c r="H49" i="10"/>
  <c r="E49" i="10"/>
  <c r="G49" i="10" s="1"/>
  <c r="H48" i="10"/>
  <c r="E48" i="10"/>
  <c r="G48" i="10" s="1"/>
  <c r="H47" i="10"/>
  <c r="G47" i="10"/>
  <c r="E47" i="10"/>
  <c r="H46" i="10"/>
  <c r="E46" i="10"/>
  <c r="G46" i="10" s="1"/>
  <c r="H45" i="10"/>
  <c r="E45" i="10"/>
  <c r="G45" i="10" s="1"/>
  <c r="H44" i="10"/>
  <c r="G44" i="10"/>
  <c r="E44" i="10"/>
  <c r="H43" i="10"/>
  <c r="E43" i="10"/>
  <c r="G43" i="10" s="1"/>
  <c r="H42" i="10"/>
  <c r="E42" i="10"/>
  <c r="G42" i="10" s="1"/>
  <c r="H41" i="10"/>
  <c r="G41" i="10"/>
  <c r="E41" i="10"/>
  <c r="H40" i="10"/>
  <c r="E40" i="10"/>
  <c r="G40" i="10" s="1"/>
  <c r="H39" i="10"/>
  <c r="E39" i="10"/>
  <c r="G39" i="10" s="1"/>
  <c r="H38" i="10"/>
  <c r="G38" i="10"/>
  <c r="E38" i="10"/>
  <c r="H37" i="10"/>
  <c r="E37" i="10"/>
  <c r="G37" i="10" s="1"/>
  <c r="H36" i="10"/>
  <c r="E36" i="10"/>
  <c r="G36" i="10" s="1"/>
  <c r="H35" i="10"/>
  <c r="G35" i="10"/>
  <c r="E35" i="10"/>
  <c r="H34" i="10"/>
  <c r="E34" i="10"/>
  <c r="G34" i="10" s="1"/>
  <c r="H33" i="10"/>
  <c r="E33" i="10"/>
  <c r="G33" i="10" s="1"/>
  <c r="H32" i="10"/>
  <c r="G32" i="10"/>
  <c r="E32" i="10"/>
  <c r="H31" i="10"/>
  <c r="E31" i="10"/>
  <c r="G31" i="10" s="1"/>
  <c r="H30" i="10"/>
  <c r="E30" i="10"/>
  <c r="G30" i="10" s="1"/>
  <c r="H29" i="10"/>
  <c r="G29" i="10"/>
  <c r="E29" i="10"/>
  <c r="H28" i="10"/>
  <c r="E28" i="10"/>
  <c r="G28" i="10" s="1"/>
  <c r="H27" i="10"/>
  <c r="E27" i="10"/>
  <c r="G27" i="10" s="1"/>
  <c r="H26" i="10"/>
  <c r="G26" i="10"/>
  <c r="E26" i="10"/>
  <c r="H25" i="10"/>
  <c r="E25" i="10"/>
  <c r="G25" i="10" s="1"/>
  <c r="H24" i="10"/>
  <c r="E24" i="10"/>
  <c r="G24" i="10" s="1"/>
  <c r="H23" i="10"/>
  <c r="G23" i="10"/>
  <c r="E23" i="10"/>
  <c r="H22" i="10"/>
  <c r="E22" i="10"/>
  <c r="G22" i="10" s="1"/>
  <c r="H21" i="10"/>
  <c r="E21" i="10"/>
  <c r="G21" i="10" s="1"/>
  <c r="H20" i="10"/>
  <c r="G20" i="10"/>
  <c r="E20" i="10"/>
  <c r="H19" i="10"/>
  <c r="E19" i="10"/>
  <c r="G19" i="10" s="1"/>
  <c r="H18" i="10"/>
  <c r="E18" i="10"/>
  <c r="G18" i="10" s="1"/>
  <c r="H17" i="10"/>
  <c r="G17" i="10"/>
  <c r="E17" i="10"/>
  <c r="H16" i="10"/>
  <c r="E16" i="10"/>
  <c r="G16" i="10" s="1"/>
  <c r="H15" i="10"/>
  <c r="E15" i="10"/>
  <c r="G15" i="10" s="1"/>
  <c r="H14" i="10"/>
  <c r="G14" i="10"/>
  <c r="E14" i="10"/>
  <c r="H13" i="10"/>
  <c r="E13" i="10"/>
  <c r="G13" i="10" s="1"/>
  <c r="H12" i="10"/>
  <c r="E12" i="10"/>
  <c r="G12" i="10" s="1"/>
  <c r="H11" i="10"/>
  <c r="G11" i="10"/>
  <c r="E11" i="10"/>
  <c r="H10" i="10"/>
  <c r="E10" i="10"/>
  <c r="G10" i="10" s="1"/>
  <c r="H9" i="10"/>
  <c r="E9" i="10"/>
  <c r="G9" i="10" s="1"/>
  <c r="H8" i="10"/>
  <c r="G8" i="10"/>
  <c r="E8" i="10"/>
  <c r="H7" i="10"/>
  <c r="E7" i="10"/>
  <c r="G7" i="10" s="1"/>
  <c r="H6" i="10"/>
  <c r="E6" i="10"/>
  <c r="G6" i="10" s="1"/>
  <c r="A39" i="2" l="1"/>
  <c r="A40" i="2" s="1"/>
  <c r="A41" i="2" s="1"/>
  <c r="A46" i="2"/>
  <c r="A43" i="2"/>
  <c r="A44" i="2" s="1"/>
  <c r="A45" i="2" s="1"/>
  <c r="E2" i="13"/>
  <c r="F2" i="13" s="1"/>
  <c r="G2" i="13" s="1"/>
  <c r="E5" i="13"/>
  <c r="F5" i="13" s="1"/>
  <c r="G5" i="13" s="1"/>
  <c r="E8" i="13"/>
  <c r="F8" i="13" s="1"/>
  <c r="G8" i="13" s="1"/>
  <c r="E11" i="13"/>
  <c r="F11" i="13" s="1"/>
  <c r="G11" i="13" s="1"/>
  <c r="E14" i="13"/>
  <c r="F14" i="13" s="1"/>
  <c r="G14" i="13" s="1"/>
  <c r="E17" i="13"/>
  <c r="F17" i="13" s="1"/>
  <c r="G17" i="13" s="1"/>
  <c r="E20" i="13"/>
  <c r="F20" i="13" s="1"/>
  <c r="G20" i="13" s="1"/>
  <c r="E23" i="13"/>
  <c r="F23" i="13" s="1"/>
  <c r="G23" i="13" s="1"/>
  <c r="O6" i="10"/>
  <c r="G57" i="10"/>
  <c r="G61" i="10"/>
  <c r="G65" i="10"/>
  <c r="G69" i="10"/>
  <c r="G73" i="10"/>
  <c r="G77" i="10"/>
  <c r="G81" i="10"/>
  <c r="G85" i="10"/>
  <c r="G89" i="10"/>
  <c r="G93" i="10"/>
  <c r="G97" i="10"/>
  <c r="G101" i="10"/>
  <c r="G105" i="10"/>
  <c r="G55" i="10"/>
  <c r="G59" i="10"/>
  <c r="G63" i="10"/>
  <c r="G67" i="10"/>
  <c r="G71" i="10"/>
  <c r="G75" i="10"/>
  <c r="G79" i="10"/>
  <c r="G83" i="10"/>
  <c r="G87" i="10"/>
  <c r="G91" i="10"/>
  <c r="G95" i="10"/>
  <c r="G99" i="10"/>
  <c r="G103" i="10"/>
  <c r="G107" i="10"/>
  <c r="G56" i="10"/>
  <c r="G60" i="10"/>
  <c r="G64" i="10"/>
  <c r="G68" i="10"/>
  <c r="G72" i="10"/>
  <c r="G76" i="10"/>
  <c r="G80" i="10"/>
  <c r="G84" i="10"/>
  <c r="G88" i="10"/>
  <c r="G92" i="10"/>
  <c r="G96" i="10"/>
  <c r="G100" i="10"/>
  <c r="G104" i="10"/>
  <c r="G108" i="10"/>
  <c r="D135" i="9"/>
  <c r="E134" i="9"/>
  <c r="D134" i="9"/>
  <c r="E133" i="9"/>
  <c r="D133" i="9"/>
  <c r="E132" i="9"/>
  <c r="D132" i="9"/>
  <c r="E131" i="9"/>
  <c r="F131" i="9" s="1"/>
  <c r="D131" i="9"/>
  <c r="E130" i="9"/>
  <c r="D130" i="9"/>
  <c r="E129" i="9"/>
  <c r="F129" i="9" s="1"/>
  <c r="D129" i="9"/>
  <c r="E128" i="9"/>
  <c r="D128" i="9"/>
  <c r="E127" i="9"/>
  <c r="F127" i="9" s="1"/>
  <c r="D127" i="9"/>
  <c r="E126" i="9"/>
  <c r="D126" i="9"/>
  <c r="E125" i="9"/>
  <c r="F125" i="9" s="1"/>
  <c r="D125" i="9"/>
  <c r="E124" i="9"/>
  <c r="D124" i="9"/>
  <c r="E123" i="9"/>
  <c r="F123" i="9" s="1"/>
  <c r="D123" i="9"/>
  <c r="E122" i="9"/>
  <c r="D122" i="9"/>
  <c r="E121" i="9"/>
  <c r="D121" i="9"/>
  <c r="E120" i="9"/>
  <c r="D120" i="9"/>
  <c r="E119" i="9"/>
  <c r="F119" i="9" s="1"/>
  <c r="D119" i="9"/>
  <c r="E118" i="9"/>
  <c r="D118" i="9"/>
  <c r="E117" i="9"/>
  <c r="F117" i="9" s="1"/>
  <c r="D117" i="9"/>
  <c r="E116" i="9"/>
  <c r="D116" i="9"/>
  <c r="E115" i="9"/>
  <c r="D115" i="9"/>
  <c r="E114" i="9"/>
  <c r="D114" i="9"/>
  <c r="E113" i="9"/>
  <c r="F113" i="9" s="1"/>
  <c r="D113" i="9"/>
  <c r="E112" i="9"/>
  <c r="D112" i="9"/>
  <c r="E111" i="9"/>
  <c r="F111" i="9" s="1"/>
  <c r="D111" i="9"/>
  <c r="E110" i="9"/>
  <c r="D110" i="9"/>
  <c r="E109" i="9"/>
  <c r="D109" i="9"/>
  <c r="E108" i="9"/>
  <c r="D108" i="9"/>
  <c r="E107" i="9"/>
  <c r="F107" i="9" s="1"/>
  <c r="D107" i="9"/>
  <c r="E106" i="9"/>
  <c r="D106" i="9"/>
  <c r="E105" i="9"/>
  <c r="F105" i="9" s="1"/>
  <c r="D105" i="9"/>
  <c r="E104" i="9"/>
  <c r="D104" i="9"/>
  <c r="E103" i="9"/>
  <c r="D103" i="9"/>
  <c r="E102" i="9"/>
  <c r="D102" i="9"/>
  <c r="E101" i="9"/>
  <c r="F101" i="9" s="1"/>
  <c r="D101" i="9"/>
  <c r="E100" i="9"/>
  <c r="D100" i="9"/>
  <c r="E99" i="9"/>
  <c r="F99" i="9" s="1"/>
  <c r="D99" i="9"/>
  <c r="E98" i="9"/>
  <c r="D98" i="9"/>
  <c r="E97" i="9"/>
  <c r="D97" i="9"/>
  <c r="E96" i="9"/>
  <c r="D96" i="9"/>
  <c r="E95" i="9"/>
  <c r="D95" i="9"/>
  <c r="E94" i="9"/>
  <c r="D94" i="9"/>
  <c r="E93" i="9"/>
  <c r="F93" i="9" s="1"/>
  <c r="D93" i="9"/>
  <c r="E92" i="9"/>
  <c r="F92" i="9" s="1"/>
  <c r="D92" i="9"/>
  <c r="E91" i="9"/>
  <c r="D91" i="9"/>
  <c r="E90" i="9"/>
  <c r="D90" i="9"/>
  <c r="E89" i="9"/>
  <c r="D89" i="9"/>
  <c r="E88" i="9"/>
  <c r="D88" i="9"/>
  <c r="E87" i="9"/>
  <c r="F87" i="9" s="1"/>
  <c r="D87" i="9"/>
  <c r="E86" i="9"/>
  <c r="F86" i="9" s="1"/>
  <c r="D86" i="9"/>
  <c r="E85" i="9"/>
  <c r="D85" i="9"/>
  <c r="E84" i="9"/>
  <c r="D84" i="9"/>
  <c r="E83" i="9"/>
  <c r="D83" i="9"/>
  <c r="E82" i="9"/>
  <c r="D82" i="9"/>
  <c r="E81" i="9"/>
  <c r="F81" i="9" s="1"/>
  <c r="D81" i="9"/>
  <c r="E80" i="9"/>
  <c r="F80" i="9" s="1"/>
  <c r="D80" i="9"/>
  <c r="E79" i="9"/>
  <c r="D79" i="9"/>
  <c r="E78" i="9"/>
  <c r="D78" i="9"/>
  <c r="E77" i="9"/>
  <c r="D77" i="9"/>
  <c r="E76" i="9"/>
  <c r="D76" i="9"/>
  <c r="E75" i="9"/>
  <c r="F75" i="9" s="1"/>
  <c r="D75" i="9"/>
  <c r="E74" i="9"/>
  <c r="F74" i="9" s="1"/>
  <c r="D74" i="9"/>
  <c r="E73" i="9"/>
  <c r="D73" i="9"/>
  <c r="E72" i="9"/>
  <c r="D72" i="9"/>
  <c r="E71" i="9"/>
  <c r="D71" i="9"/>
  <c r="E70" i="9"/>
  <c r="D70" i="9"/>
  <c r="E69" i="9"/>
  <c r="F69" i="9" s="1"/>
  <c r="D69" i="9"/>
  <c r="E68" i="9"/>
  <c r="F68" i="9" s="1"/>
  <c r="D68" i="9"/>
  <c r="E67" i="9"/>
  <c r="D67" i="9"/>
  <c r="E66" i="9"/>
  <c r="D66" i="9"/>
  <c r="E65" i="9"/>
  <c r="D65" i="9"/>
  <c r="E64" i="9"/>
  <c r="D64" i="9"/>
  <c r="E63" i="9"/>
  <c r="F63" i="9" s="1"/>
  <c r="D63" i="9"/>
  <c r="E62" i="9"/>
  <c r="D62" i="9"/>
  <c r="E61" i="9"/>
  <c r="D61" i="9"/>
  <c r="E60" i="9"/>
  <c r="D60" i="9"/>
  <c r="E59" i="9"/>
  <c r="D59" i="9"/>
  <c r="E58" i="9"/>
  <c r="D58" i="9"/>
  <c r="E57" i="9"/>
  <c r="F57" i="9" s="1"/>
  <c r="D57" i="9"/>
  <c r="E56" i="9"/>
  <c r="F56" i="9" s="1"/>
  <c r="D56" i="9"/>
  <c r="E55" i="9"/>
  <c r="D55" i="9"/>
  <c r="E54" i="9"/>
  <c r="D54" i="9"/>
  <c r="E53" i="9"/>
  <c r="D53" i="9"/>
  <c r="E52" i="9"/>
  <c r="D52" i="9"/>
  <c r="E51" i="9"/>
  <c r="F51" i="9" s="1"/>
  <c r="D51" i="9"/>
  <c r="E50" i="9"/>
  <c r="D50" i="9"/>
  <c r="E49" i="9"/>
  <c r="D49" i="9"/>
  <c r="E48" i="9"/>
  <c r="D48" i="9"/>
  <c r="E47" i="9"/>
  <c r="D47" i="9"/>
  <c r="E46" i="9"/>
  <c r="D46" i="9"/>
  <c r="E45" i="9"/>
  <c r="F45" i="9" s="1"/>
  <c r="D45" i="9"/>
  <c r="E44" i="9"/>
  <c r="D44" i="9"/>
  <c r="E43" i="9"/>
  <c r="D43" i="9"/>
  <c r="E42" i="9"/>
  <c r="D42" i="9"/>
  <c r="E41" i="9"/>
  <c r="D41" i="9"/>
  <c r="E40" i="9"/>
  <c r="D40" i="9"/>
  <c r="E39" i="9"/>
  <c r="F39" i="9" s="1"/>
  <c r="D39" i="9"/>
  <c r="E38" i="9"/>
  <c r="D38" i="9"/>
  <c r="E37" i="9"/>
  <c r="D37" i="9"/>
  <c r="E36" i="9"/>
  <c r="D36" i="9"/>
  <c r="E35" i="9"/>
  <c r="D35" i="9"/>
  <c r="E34" i="9"/>
  <c r="D34" i="9"/>
  <c r="E33" i="9"/>
  <c r="F33" i="9" s="1"/>
  <c r="D33" i="9"/>
  <c r="E32" i="9"/>
  <c r="F32" i="9" s="1"/>
  <c r="D32" i="9"/>
  <c r="E31" i="9"/>
  <c r="D31" i="9"/>
  <c r="E30" i="9"/>
  <c r="D30" i="9"/>
  <c r="E29" i="9"/>
  <c r="D29" i="9"/>
  <c r="E28" i="9"/>
  <c r="D28" i="9"/>
  <c r="E27" i="9"/>
  <c r="F27" i="9" s="1"/>
  <c r="D27" i="9"/>
  <c r="E26" i="9"/>
  <c r="F26" i="9" s="1"/>
  <c r="D26" i="9"/>
  <c r="E25" i="9"/>
  <c r="D25" i="9"/>
  <c r="E24" i="9"/>
  <c r="D24" i="9"/>
  <c r="E23" i="9"/>
  <c r="D23" i="9"/>
  <c r="E22" i="9"/>
  <c r="D22" i="9"/>
  <c r="E21" i="9"/>
  <c r="F21" i="9" s="1"/>
  <c r="D21" i="9"/>
  <c r="E20" i="9"/>
  <c r="F20" i="9" s="1"/>
  <c r="D20" i="9"/>
  <c r="E19" i="9"/>
  <c r="D19" i="9"/>
  <c r="E18" i="9"/>
  <c r="D18" i="9"/>
  <c r="E17" i="9"/>
  <c r="D17" i="9"/>
  <c r="E16" i="9"/>
  <c r="D16" i="9"/>
  <c r="E15" i="9"/>
  <c r="F15" i="9" s="1"/>
  <c r="D15" i="9"/>
  <c r="E14" i="9"/>
  <c r="F14" i="9" s="1"/>
  <c r="D14" i="9"/>
  <c r="E13" i="9"/>
  <c r="D13" i="9"/>
  <c r="E12" i="9"/>
  <c r="D12" i="9"/>
  <c r="E11" i="9"/>
  <c r="D11" i="9"/>
  <c r="E10" i="9"/>
  <c r="D10" i="9"/>
  <c r="E9" i="9"/>
  <c r="F9" i="9" s="1"/>
  <c r="D9" i="9"/>
  <c r="E8" i="9"/>
  <c r="F8" i="9" s="1"/>
  <c r="D8" i="9"/>
  <c r="E7" i="9"/>
  <c r="D7" i="9"/>
  <c r="E6" i="9"/>
  <c r="D6" i="9"/>
  <c r="F5" i="9"/>
  <c r="G5" i="9" s="1"/>
  <c r="D5" i="9"/>
  <c r="F4" i="9"/>
  <c r="G4" i="9" s="1"/>
  <c r="D4" i="9"/>
  <c r="F3" i="9"/>
  <c r="G3" i="9" s="1"/>
  <c r="D3" i="9"/>
  <c r="F2" i="9"/>
  <c r="G2" i="9" s="1"/>
  <c r="D2" i="9"/>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 r="J125"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166" i="7"/>
  <c r="E167" i="7"/>
  <c r="E168" i="7"/>
  <c r="E169" i="7"/>
  <c r="E170" i="7"/>
  <c r="E171" i="7"/>
  <c r="E172" i="7"/>
  <c r="E173" i="7"/>
  <c r="E174" i="7"/>
  <c r="E175" i="7"/>
  <c r="E176" i="7"/>
  <c r="E177" i="7"/>
  <c r="E178" i="7"/>
  <c r="E179" i="7"/>
  <c r="E180" i="7"/>
  <c r="E181" i="7"/>
  <c r="E182" i="7"/>
  <c r="E183" i="7"/>
  <c r="E184" i="7"/>
  <c r="E185" i="7"/>
  <c r="E186" i="7"/>
  <c r="E187" i="7"/>
  <c r="E188" i="7"/>
  <c r="E189" i="7"/>
  <c r="E190" i="7"/>
  <c r="E191" i="7"/>
  <c r="E192" i="7"/>
  <c r="E193" i="7"/>
  <c r="E194" i="7"/>
  <c r="E195" i="7"/>
  <c r="E196" i="7"/>
  <c r="E197" i="7"/>
  <c r="E198" i="7"/>
  <c r="E199" i="7"/>
  <c r="E200" i="7"/>
  <c r="E201" i="7"/>
  <c r="E202" i="7"/>
  <c r="E203" i="7"/>
  <c r="E204" i="7"/>
  <c r="E205" i="7"/>
  <c r="E206" i="7"/>
  <c r="E207" i="7"/>
  <c r="E208" i="7"/>
  <c r="E209" i="7"/>
  <c r="E210" i="7"/>
  <c r="E211" i="7"/>
  <c r="E212" i="7"/>
  <c r="E213" i="7"/>
  <c r="E214" i="7"/>
  <c r="E215" i="7"/>
  <c r="E216" i="7"/>
  <c r="E217" i="7"/>
  <c r="E218" i="7"/>
  <c r="E219" i="7"/>
  <c r="E220" i="7"/>
  <c r="E221" i="7"/>
  <c r="E222" i="7"/>
  <c r="E223" i="7"/>
  <c r="E224" i="7"/>
  <c r="E225" i="7"/>
  <c r="E226" i="7"/>
  <c r="E227" i="7"/>
  <c r="E228" i="7"/>
  <c r="E229" i="7"/>
  <c r="E230" i="7"/>
  <c r="E231" i="7"/>
  <c r="E232" i="7"/>
  <c r="E233" i="7"/>
  <c r="E234" i="7"/>
  <c r="E235" i="7"/>
  <c r="E236" i="7"/>
  <c r="E237" i="7"/>
  <c r="E238" i="7"/>
  <c r="E239" i="7"/>
  <c r="E240" i="7"/>
  <c r="E241" i="7"/>
  <c r="E242" i="7"/>
  <c r="E243" i="7"/>
  <c r="E244" i="7"/>
  <c r="E245" i="7"/>
  <c r="E246" i="7"/>
  <c r="E247" i="7"/>
  <c r="E248" i="7"/>
  <c r="E249" i="7"/>
  <c r="E250" i="7"/>
  <c r="E251" i="7"/>
  <c r="E252" i="7"/>
  <c r="E253" i="7"/>
  <c r="E254" i="7"/>
  <c r="E255" i="7"/>
  <c r="E256" i="7"/>
  <c r="E257" i="7"/>
  <c r="E258" i="7"/>
  <c r="E259" i="7"/>
  <c r="E260" i="7"/>
  <c r="E261" i="7"/>
  <c r="E262" i="7"/>
  <c r="E263" i="7"/>
  <c r="E264" i="7"/>
  <c r="E265" i="7"/>
  <c r="E266" i="7"/>
  <c r="E267" i="7"/>
  <c r="E268" i="7"/>
  <c r="E269" i="7"/>
  <c r="E270" i="7"/>
  <c r="E271" i="7"/>
  <c r="E272" i="7"/>
  <c r="E273" i="7"/>
  <c r="E274" i="7"/>
  <c r="E275" i="7"/>
  <c r="E276" i="7"/>
  <c r="E277" i="7"/>
  <c r="E278" i="7"/>
  <c r="E279" i="7"/>
  <c r="E280" i="7"/>
  <c r="E281" i="7"/>
  <c r="E282" i="7"/>
  <c r="E283" i="7"/>
  <c r="E284" i="7"/>
  <c r="E285" i="7"/>
  <c r="E286" i="7"/>
  <c r="E287" i="7"/>
  <c r="E288" i="7"/>
  <c r="E289" i="7"/>
  <c r="E290" i="7"/>
  <c r="E291" i="7"/>
  <c r="E292" i="7"/>
  <c r="E293" i="7"/>
  <c r="E294" i="7"/>
  <c r="E295" i="7"/>
  <c r="E296" i="7"/>
  <c r="E297" i="7"/>
  <c r="E298" i="7"/>
  <c r="E299" i="7"/>
  <c r="E300" i="7"/>
  <c r="E301" i="7"/>
  <c r="E302" i="7"/>
  <c r="E303" i="7"/>
  <c r="E304" i="7"/>
  <c r="E305" i="7"/>
  <c r="E306" i="7"/>
  <c r="E307" i="7"/>
  <c r="E308" i="7"/>
  <c r="E309" i="7"/>
  <c r="E310" i="7"/>
  <c r="E311" i="7"/>
  <c r="E312" i="7"/>
  <c r="E313" i="7"/>
  <c r="E314" i="7"/>
  <c r="E315" i="7"/>
  <c r="E316" i="7"/>
  <c r="E317" i="7"/>
  <c r="E318" i="7"/>
  <c r="E319" i="7"/>
  <c r="E320" i="7"/>
  <c r="E321" i="7"/>
  <c r="E322" i="7"/>
  <c r="E323" i="7"/>
  <c r="E324" i="7"/>
  <c r="E325" i="7"/>
  <c r="E326" i="7"/>
  <c r="E327" i="7"/>
  <c r="E328" i="7"/>
  <c r="E329" i="7"/>
  <c r="E330" i="7"/>
  <c r="E331" i="7"/>
  <c r="E332" i="7"/>
  <c r="E333" i="7"/>
  <c r="E334" i="7"/>
  <c r="E335" i="7"/>
  <c r="E336" i="7"/>
  <c r="E337" i="7"/>
  <c r="E338" i="7"/>
  <c r="E339" i="7"/>
  <c r="E340" i="7"/>
  <c r="E341" i="7"/>
  <c r="E342" i="7"/>
  <c r="E343" i="7"/>
  <c r="E344" i="7"/>
  <c r="E345" i="7"/>
  <c r="E346" i="7"/>
  <c r="E347" i="7"/>
  <c r="E348" i="7"/>
  <c r="E349" i="7"/>
  <c r="E350" i="7"/>
  <c r="E351" i="7"/>
  <c r="E352" i="7"/>
  <c r="E353" i="7"/>
  <c r="E354" i="7"/>
  <c r="E355" i="7"/>
  <c r="E356" i="7"/>
  <c r="E357" i="7"/>
  <c r="E358" i="7"/>
  <c r="E359" i="7"/>
  <c r="E360" i="7"/>
  <c r="E361" i="7"/>
  <c r="E362" i="7"/>
  <c r="E363" i="7"/>
  <c r="E364" i="7"/>
  <c r="E365" i="7"/>
  <c r="E366" i="7"/>
  <c r="E367" i="7"/>
  <c r="E368" i="7"/>
  <c r="E369" i="7"/>
  <c r="E370" i="7"/>
  <c r="E371" i="7"/>
  <c r="E372" i="7"/>
  <c r="E373" i="7"/>
  <c r="E374" i="7"/>
  <c r="E375" i="7"/>
  <c r="E376" i="7"/>
  <c r="E377" i="7"/>
  <c r="E378" i="7"/>
  <c r="E379" i="7"/>
  <c r="E380" i="7"/>
  <c r="E381" i="7"/>
  <c r="E382" i="7"/>
  <c r="E383" i="7"/>
  <c r="E384" i="7"/>
  <c r="E385" i="7"/>
  <c r="E386" i="7"/>
  <c r="E387" i="7"/>
  <c r="E388" i="7"/>
  <c r="E389" i="7"/>
  <c r="E390" i="7"/>
  <c r="E391" i="7"/>
  <c r="E392" i="7"/>
  <c r="E393" i="7"/>
  <c r="E394" i="7"/>
  <c r="E395" i="7"/>
  <c r="E396" i="7"/>
  <c r="E397" i="7"/>
  <c r="E398" i="7"/>
  <c r="E399" i="7"/>
  <c r="E400" i="7"/>
  <c r="E401" i="7"/>
  <c r="E402" i="7"/>
  <c r="E403" i="7"/>
  <c r="E404" i="7"/>
  <c r="E405" i="7"/>
  <c r="E406" i="7"/>
  <c r="E407" i="7"/>
  <c r="E408" i="7"/>
  <c r="E409" i="7"/>
  <c r="E410" i="7"/>
  <c r="E411" i="7"/>
  <c r="E412" i="7"/>
  <c r="E413" i="7"/>
  <c r="E414" i="7"/>
  <c r="E415" i="7"/>
  <c r="E416" i="7"/>
  <c r="E417" i="7"/>
  <c r="E418" i="7"/>
  <c r="E419" i="7"/>
  <c r="E420" i="7"/>
  <c r="E421" i="7"/>
  <c r="E422" i="7"/>
  <c r="E423" i="7"/>
  <c r="E424" i="7"/>
  <c r="E425" i="7"/>
  <c r="E426" i="7"/>
  <c r="E427" i="7"/>
  <c r="E428" i="7"/>
  <c r="E429" i="7"/>
  <c r="E430" i="7"/>
  <c r="E431" i="7"/>
  <c r="E432" i="7"/>
  <c r="E433" i="7"/>
  <c r="E434" i="7"/>
  <c r="E435" i="7"/>
  <c r="E436" i="7"/>
  <c r="E437" i="7"/>
  <c r="E438" i="7"/>
  <c r="E439" i="7"/>
  <c r="E440" i="7"/>
  <c r="E13" i="7"/>
  <c r="G4" i="7"/>
  <c r="F5" i="7"/>
  <c r="G5" i="7"/>
  <c r="F6" i="7"/>
  <c r="G6" i="7"/>
  <c r="F7" i="7"/>
  <c r="G7" i="7"/>
  <c r="E123" i="5"/>
  <c r="G123" i="5" s="1"/>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E17" i="5"/>
  <c r="E16" i="5"/>
  <c r="E15" i="5"/>
  <c r="E14" i="5"/>
  <c r="E13" i="5"/>
  <c r="E12" i="5"/>
  <c r="E11" i="5"/>
  <c r="E10" i="5"/>
  <c r="E9" i="5"/>
  <c r="E8" i="5"/>
  <c r="E7" i="5"/>
  <c r="E6" i="5"/>
  <c r="E5" i="5"/>
  <c r="E4" i="5"/>
  <c r="E3" i="5"/>
  <c r="E2" i="5"/>
  <c r="I2" i="5" s="1" a="1"/>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G123" i="3" s="1"/>
  <c r="E2" i="3"/>
  <c r="D2" i="3" a="1"/>
  <c r="D2" i="3" s="1"/>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4" i="3"/>
  <c r="C3" i="3"/>
  <c r="C2" i="3"/>
  <c r="A47" i="2" l="1"/>
  <c r="A48" i="2" s="1"/>
  <c r="A49" i="2" s="1"/>
  <c r="A50" i="2"/>
  <c r="F25" i="9"/>
  <c r="F38" i="9"/>
  <c r="F44" i="9"/>
  <c r="F50" i="9"/>
  <c r="F62" i="9"/>
  <c r="F98" i="9"/>
  <c r="G98" i="9" s="1"/>
  <c r="E94" i="2" s="1"/>
  <c r="F104" i="9"/>
  <c r="G104" i="9" s="1"/>
  <c r="E100" i="2" s="1"/>
  <c r="F110" i="9"/>
  <c r="F124" i="9"/>
  <c r="F28" i="9"/>
  <c r="G28" i="9" s="1"/>
  <c r="E24" i="2" s="1"/>
  <c r="F34" i="9"/>
  <c r="G34" i="9" s="1"/>
  <c r="E30" i="2" s="1"/>
  <c r="F46" i="9"/>
  <c r="G46" i="9" s="1"/>
  <c r="E42" i="2" s="1"/>
  <c r="F52" i="9"/>
  <c r="F70" i="9"/>
  <c r="G70" i="9" s="1"/>
  <c r="E66" i="2" s="1"/>
  <c r="F76" i="9"/>
  <c r="F82" i="9"/>
  <c r="F118" i="9"/>
  <c r="G118" i="9" s="1"/>
  <c r="E114" i="2" s="1"/>
  <c r="F22" i="9"/>
  <c r="G22" i="9" s="1"/>
  <c r="E18" i="2" s="1"/>
  <c r="F40" i="9"/>
  <c r="G40" i="9" s="1"/>
  <c r="E36" i="2" s="1"/>
  <c r="F58" i="9"/>
  <c r="G58" i="9" s="1"/>
  <c r="E54" i="2" s="1"/>
  <c r="F112" i="9"/>
  <c r="F11" i="9"/>
  <c r="G11" i="9" s="1"/>
  <c r="E7" i="2" s="1"/>
  <c r="F17" i="9"/>
  <c r="G17" i="9" s="1"/>
  <c r="E13" i="2" s="1"/>
  <c r="F23" i="9"/>
  <c r="G23" i="9" s="1"/>
  <c r="E19" i="2" s="1"/>
  <c r="F29" i="9"/>
  <c r="F35" i="9"/>
  <c r="G35" i="9" s="1"/>
  <c r="E31" i="2" s="1"/>
  <c r="F41" i="9"/>
  <c r="F47" i="9"/>
  <c r="F53" i="9"/>
  <c r="F59" i="9"/>
  <c r="G59" i="9" s="1"/>
  <c r="E55" i="2" s="1"/>
  <c r="F65" i="9"/>
  <c r="G65" i="9" s="1"/>
  <c r="E61" i="2" s="1"/>
  <c r="F71" i="9"/>
  <c r="G71" i="9" s="1"/>
  <c r="E67" i="2" s="1"/>
  <c r="F77" i="9"/>
  <c r="F83" i="9"/>
  <c r="G83" i="9" s="1"/>
  <c r="E79" i="2" s="1"/>
  <c r="F89" i="9"/>
  <c r="F95" i="9"/>
  <c r="G95" i="9" s="1"/>
  <c r="E91" i="2" s="1"/>
  <c r="F64" i="9"/>
  <c r="G64" i="9" s="1"/>
  <c r="E60" i="2" s="1"/>
  <c r="F12" i="9"/>
  <c r="F24" i="9"/>
  <c r="F30" i="9"/>
  <c r="F36" i="9"/>
  <c r="F48" i="9"/>
  <c r="G48" i="9" s="1"/>
  <c r="E44" i="2" s="1"/>
  <c r="F54" i="9"/>
  <c r="G54" i="9" s="1"/>
  <c r="E50" i="2" s="1"/>
  <c r="F60" i="9"/>
  <c r="G60" i="9" s="1"/>
  <c r="E56" i="2" s="1"/>
  <c r="F66" i="9"/>
  <c r="F72" i="9"/>
  <c r="F78" i="9"/>
  <c r="G78" i="9" s="1"/>
  <c r="E74" i="2" s="1"/>
  <c r="F84" i="9"/>
  <c r="G84" i="9" s="1"/>
  <c r="E80" i="2" s="1"/>
  <c r="F90" i="9"/>
  <c r="F96" i="9"/>
  <c r="F102" i="9"/>
  <c r="G102" i="9" s="1"/>
  <c r="E98" i="2" s="1"/>
  <c r="F132" i="9"/>
  <c r="G132" i="9" s="1"/>
  <c r="E128" i="2" s="1"/>
  <c r="F88" i="9"/>
  <c r="G88" i="9" s="1"/>
  <c r="E84" i="2" s="1"/>
  <c r="F120" i="9"/>
  <c r="G120" i="9" s="1"/>
  <c r="E116" i="2" s="1"/>
  <c r="F16" i="9"/>
  <c r="G16" i="9" s="1"/>
  <c r="E12" i="2" s="1"/>
  <c r="F106" i="9"/>
  <c r="G106" i="9" s="1"/>
  <c r="E102" i="2" s="1"/>
  <c r="F18" i="9"/>
  <c r="F42" i="9"/>
  <c r="G42" i="9" s="1"/>
  <c r="E38" i="2" s="1"/>
  <c r="F126" i="9"/>
  <c r="G126" i="9" s="1"/>
  <c r="E122" i="2" s="1"/>
  <c r="F100" i="9"/>
  <c r="G100" i="9" s="1"/>
  <c r="E96" i="2" s="1"/>
  <c r="F114" i="9"/>
  <c r="F94" i="9"/>
  <c r="G94" i="9" s="1"/>
  <c r="E90" i="2" s="1"/>
  <c r="F6" i="9"/>
  <c r="G6" i="9" s="1"/>
  <c r="E2" i="2" s="1"/>
  <c r="F108" i="9"/>
  <c r="F116" i="9"/>
  <c r="F122" i="9"/>
  <c r="F128" i="9"/>
  <c r="G128" i="9" s="1"/>
  <c r="E124" i="2" s="1"/>
  <c r="F134" i="9"/>
  <c r="G134" i="9" s="1"/>
  <c r="E130" i="2" s="1"/>
  <c r="G52" i="9"/>
  <c r="E48" i="2" s="1"/>
  <c r="G76" i="9"/>
  <c r="E72" i="2" s="1"/>
  <c r="G82" i="9"/>
  <c r="E78" i="2" s="1"/>
  <c r="G112" i="9"/>
  <c r="E108" i="2" s="1"/>
  <c r="G124" i="9"/>
  <c r="E120" i="2" s="1"/>
  <c r="G119" i="9"/>
  <c r="E115" i="2" s="1"/>
  <c r="G29" i="9"/>
  <c r="E25" i="2" s="1"/>
  <c r="G47" i="9"/>
  <c r="E43" i="2" s="1"/>
  <c r="G77" i="9"/>
  <c r="E73" i="2" s="1"/>
  <c r="G89" i="9"/>
  <c r="E85" i="2" s="1"/>
  <c r="G113" i="9"/>
  <c r="E109" i="2" s="1"/>
  <c r="G12" i="9"/>
  <c r="E8" i="2" s="1"/>
  <c r="G125" i="9"/>
  <c r="E121" i="2" s="1"/>
  <c r="G131" i="9"/>
  <c r="E127" i="2" s="1"/>
  <c r="G41" i="9"/>
  <c r="E37" i="2" s="1"/>
  <c r="G53" i="9"/>
  <c r="E49" i="2" s="1"/>
  <c r="G101" i="9"/>
  <c r="E97" i="2" s="1"/>
  <c r="G107" i="9"/>
  <c r="E103" i="2" s="1"/>
  <c r="G18" i="9"/>
  <c r="E14" i="2" s="1"/>
  <c r="G24" i="9"/>
  <c r="E20" i="2" s="1"/>
  <c r="G30" i="9"/>
  <c r="E26" i="2" s="1"/>
  <c r="G36" i="9"/>
  <c r="E32" i="2" s="1"/>
  <c r="G66" i="9"/>
  <c r="E62" i="2" s="1"/>
  <c r="G72" i="9"/>
  <c r="E68" i="2" s="1"/>
  <c r="G90" i="9"/>
  <c r="E86" i="2" s="1"/>
  <c r="G96" i="9"/>
  <c r="E92" i="2" s="1"/>
  <c r="G108" i="9"/>
  <c r="E104" i="2" s="1"/>
  <c r="G114" i="9"/>
  <c r="E110" i="2" s="1"/>
  <c r="G25" i="9"/>
  <c r="E21" i="2" s="1"/>
  <c r="G127" i="9"/>
  <c r="E123" i="2" s="1"/>
  <c r="G8" i="9"/>
  <c r="E4" i="2" s="1"/>
  <c r="G14" i="9"/>
  <c r="E10" i="2" s="1"/>
  <c r="G20" i="9"/>
  <c r="E16" i="2" s="1"/>
  <c r="G26" i="9"/>
  <c r="E22" i="2" s="1"/>
  <c r="G32" i="9"/>
  <c r="E28" i="2" s="1"/>
  <c r="G38" i="9"/>
  <c r="E34" i="2" s="1"/>
  <c r="G44" i="9"/>
  <c r="E40" i="2" s="1"/>
  <c r="G50" i="9"/>
  <c r="E46" i="2" s="1"/>
  <c r="G56" i="9"/>
  <c r="E52" i="2" s="1"/>
  <c r="G62" i="9"/>
  <c r="E58" i="2" s="1"/>
  <c r="G68" i="9"/>
  <c r="E64" i="2" s="1"/>
  <c r="G74" i="9"/>
  <c r="E70" i="2" s="1"/>
  <c r="G80" i="9"/>
  <c r="E76" i="2" s="1"/>
  <c r="G86" i="9"/>
  <c r="E82" i="2" s="1"/>
  <c r="G92" i="9"/>
  <c r="E88" i="2" s="1"/>
  <c r="G110" i="9"/>
  <c r="E106" i="2" s="1"/>
  <c r="G116" i="9"/>
  <c r="E112" i="2" s="1"/>
  <c r="G122" i="9"/>
  <c r="E118" i="2" s="1"/>
  <c r="G9" i="9"/>
  <c r="E5" i="2" s="1"/>
  <c r="G15" i="9"/>
  <c r="E11" i="2" s="1"/>
  <c r="G21" i="9"/>
  <c r="E17" i="2" s="1"/>
  <c r="G27" i="9"/>
  <c r="E23" i="2" s="1"/>
  <c r="G33" i="9"/>
  <c r="E29" i="2" s="1"/>
  <c r="G39" i="9"/>
  <c r="E35" i="2" s="1"/>
  <c r="G45" i="9"/>
  <c r="E41" i="2" s="1"/>
  <c r="G51" i="9"/>
  <c r="E47" i="2" s="1"/>
  <c r="G57" i="9"/>
  <c r="E53" i="2" s="1"/>
  <c r="G63" i="9"/>
  <c r="E59" i="2" s="1"/>
  <c r="G69" i="9"/>
  <c r="E65" i="2" s="1"/>
  <c r="G75" i="9"/>
  <c r="E71" i="2" s="1"/>
  <c r="G81" i="9"/>
  <c r="E77" i="2" s="1"/>
  <c r="G87" i="9"/>
  <c r="E83" i="2" s="1"/>
  <c r="G93" i="9"/>
  <c r="E89" i="2" s="1"/>
  <c r="G99" i="9"/>
  <c r="E95" i="2" s="1"/>
  <c r="G105" i="9"/>
  <c r="E101" i="2" s="1"/>
  <c r="G111" i="9"/>
  <c r="E107" i="2" s="1"/>
  <c r="G117" i="9"/>
  <c r="E113" i="2" s="1"/>
  <c r="G123" i="9"/>
  <c r="E119" i="2" s="1"/>
  <c r="G129" i="9"/>
  <c r="E125" i="2" s="1"/>
  <c r="F7" i="9"/>
  <c r="F37" i="9"/>
  <c r="F49" i="9"/>
  <c r="F67" i="9"/>
  <c r="F79" i="9"/>
  <c r="F91" i="9"/>
  <c r="F103" i="9"/>
  <c r="F109" i="9"/>
  <c r="F121" i="9"/>
  <c r="F133" i="9"/>
  <c r="F130" i="9"/>
  <c r="F13" i="9"/>
  <c r="F19" i="9"/>
  <c r="F31" i="9"/>
  <c r="F43" i="9"/>
  <c r="F55" i="9"/>
  <c r="F61" i="9"/>
  <c r="F73" i="9"/>
  <c r="F85" i="9"/>
  <c r="F97" i="9"/>
  <c r="F115" i="9"/>
  <c r="F10" i="9"/>
  <c r="C9" i="6"/>
  <c r="C6" i="6"/>
  <c r="C8" i="6"/>
  <c r="C7" i="6"/>
  <c r="J8" i="5"/>
  <c r="J9" i="5"/>
  <c r="J10" i="5"/>
  <c r="J22" i="5"/>
  <c r="J21" i="5"/>
  <c r="J20" i="5"/>
  <c r="J12" i="5"/>
  <c r="J24" i="5"/>
  <c r="J13" i="5"/>
  <c r="J25" i="5"/>
  <c r="I2" i="5"/>
  <c r="J4" i="5"/>
  <c r="J16" i="5"/>
  <c r="J5" i="5"/>
  <c r="J17" i="5"/>
  <c r="J6" i="5"/>
  <c r="J18" i="5"/>
  <c r="J7" i="5"/>
  <c r="J19" i="5"/>
  <c r="J11" i="5"/>
  <c r="J23" i="5"/>
  <c r="J14" i="5"/>
  <c r="J3" i="5"/>
  <c r="J15" i="5"/>
  <c r="J2" i="5"/>
  <c r="F2" i="5" a="1"/>
  <c r="G8" i="5" s="1"/>
  <c r="F2" i="3" a="1"/>
  <c r="G23" i="3" s="1"/>
  <c r="A51" i="2" l="1"/>
  <c r="A52" i="2" s="1"/>
  <c r="A53" i="2" s="1"/>
  <c r="A54" i="2"/>
  <c r="G103" i="9"/>
  <c r="E99" i="2" s="1"/>
  <c r="G13" i="9"/>
  <c r="E9" i="2" s="1"/>
  <c r="G7" i="9"/>
  <c r="E3" i="2" s="1"/>
  <c r="G130" i="9"/>
  <c r="E126" i="2" s="1"/>
  <c r="G10" i="9"/>
  <c r="E6" i="2" s="1"/>
  <c r="G133" i="9"/>
  <c r="E129" i="2" s="1"/>
  <c r="G115" i="9"/>
  <c r="E111" i="2" s="1"/>
  <c r="G121" i="9"/>
  <c r="E117" i="2" s="1"/>
  <c r="G97" i="9"/>
  <c r="E93" i="2" s="1"/>
  <c r="G109" i="9"/>
  <c r="E105" i="2" s="1"/>
  <c r="G73" i="9"/>
  <c r="E69" i="2" s="1"/>
  <c r="G91" i="9"/>
  <c r="E87" i="2" s="1"/>
  <c r="G61" i="9"/>
  <c r="E57" i="2" s="1"/>
  <c r="G79" i="9"/>
  <c r="E75" i="2" s="1"/>
  <c r="G55" i="9"/>
  <c r="E51" i="2" s="1"/>
  <c r="G67" i="9"/>
  <c r="E63" i="2" s="1"/>
  <c r="G85" i="9"/>
  <c r="E81" i="2" s="1"/>
  <c r="G43" i="9"/>
  <c r="E39" i="2" s="1"/>
  <c r="G49" i="9"/>
  <c r="E45" i="2" s="1"/>
  <c r="G31" i="9"/>
  <c r="E27" i="2" s="1"/>
  <c r="G37" i="9"/>
  <c r="E33" i="2" s="1"/>
  <c r="G19" i="9"/>
  <c r="E15" i="2" s="1"/>
  <c r="F8" i="7"/>
  <c r="G17" i="3"/>
  <c r="G90" i="3"/>
  <c r="G9" i="3"/>
  <c r="G11" i="3"/>
  <c r="G75" i="3"/>
  <c r="G7" i="3"/>
  <c r="G41" i="3"/>
  <c r="G114" i="3"/>
  <c r="G6" i="3"/>
  <c r="G21" i="3"/>
  <c r="G64" i="3"/>
  <c r="G16" i="3"/>
  <c r="G100" i="3"/>
  <c r="G40" i="3"/>
  <c r="G28" i="3"/>
  <c r="G88" i="3"/>
  <c r="G8" i="3"/>
  <c r="G20" i="3"/>
  <c r="G32" i="3"/>
  <c r="G44" i="3"/>
  <c r="G56" i="3"/>
  <c r="G68" i="3"/>
  <c r="G80" i="3"/>
  <c r="G92" i="3"/>
  <c r="G104" i="3"/>
  <c r="G116" i="3"/>
  <c r="G52" i="3"/>
  <c r="G76" i="3"/>
  <c r="G10" i="3"/>
  <c r="G22" i="3"/>
  <c r="G34" i="3"/>
  <c r="G46" i="3"/>
  <c r="G58" i="3"/>
  <c r="G70" i="3"/>
  <c r="G82" i="3"/>
  <c r="G94" i="3"/>
  <c r="G106" i="3"/>
  <c r="G118" i="3"/>
  <c r="G4" i="3"/>
  <c r="G112" i="3"/>
  <c r="G54" i="3"/>
  <c r="G33" i="3"/>
  <c r="G47" i="3"/>
  <c r="G99" i="3"/>
  <c r="G43" i="3"/>
  <c r="G65" i="3"/>
  <c r="G103" i="3"/>
  <c r="G102" i="3"/>
  <c r="G45" i="3"/>
  <c r="G59" i="3"/>
  <c r="G63" i="3"/>
  <c r="G78" i="3"/>
  <c r="G29" i="3"/>
  <c r="G85" i="3"/>
  <c r="G31" i="3"/>
  <c r="G38" i="3"/>
  <c r="G73" i="3"/>
  <c r="G97" i="3"/>
  <c r="G87" i="3"/>
  <c r="G19" i="3"/>
  <c r="G53" i="3"/>
  <c r="G109" i="3"/>
  <c r="G111" i="3"/>
  <c r="G67" i="3"/>
  <c r="G77" i="3"/>
  <c r="G71" i="3"/>
  <c r="G105" i="3"/>
  <c r="G79" i="3"/>
  <c r="G89" i="3"/>
  <c r="G93" i="3"/>
  <c r="G55" i="3"/>
  <c r="G81" i="3"/>
  <c r="G83" i="3"/>
  <c r="G121" i="3"/>
  <c r="G69" i="3"/>
  <c r="G57" i="3"/>
  <c r="G36" i="3"/>
  <c r="G91" i="3"/>
  <c r="G101" i="3"/>
  <c r="G117" i="3"/>
  <c r="G115" i="3"/>
  <c r="G72" i="3"/>
  <c r="G95" i="3"/>
  <c r="G13" i="3"/>
  <c r="G113" i="3"/>
  <c r="G24" i="3"/>
  <c r="G26" i="3"/>
  <c r="G107" i="3"/>
  <c r="G25" i="3"/>
  <c r="G15" i="3"/>
  <c r="G50" i="3"/>
  <c r="G60" i="3"/>
  <c r="G18" i="3"/>
  <c r="G96" i="3"/>
  <c r="G12" i="3"/>
  <c r="G110" i="3"/>
  <c r="G119" i="3"/>
  <c r="G61" i="3"/>
  <c r="G51" i="3"/>
  <c r="G66" i="3"/>
  <c r="G3" i="3"/>
  <c r="G108" i="3"/>
  <c r="G37" i="3"/>
  <c r="G27" i="3"/>
  <c r="G122" i="3"/>
  <c r="G86" i="3"/>
  <c r="G30" i="3"/>
  <c r="G14" i="3"/>
  <c r="G120" i="3"/>
  <c r="G35" i="3"/>
  <c r="G84" i="3"/>
  <c r="G49" i="3"/>
  <c r="G39" i="3"/>
  <c r="G5" i="3"/>
  <c r="G42" i="3"/>
  <c r="G98" i="3"/>
  <c r="G74" i="3"/>
  <c r="G48" i="3"/>
  <c r="G62" i="3"/>
  <c r="G45" i="5"/>
  <c r="G109" i="5"/>
  <c r="G73" i="5"/>
  <c r="G49" i="5"/>
  <c r="G7" i="5"/>
  <c r="G66" i="5"/>
  <c r="G97" i="5"/>
  <c r="G61" i="5"/>
  <c r="G37" i="5"/>
  <c r="G19" i="5"/>
  <c r="G90" i="5"/>
  <c r="G42" i="5"/>
  <c r="G24" i="5"/>
  <c r="G12" i="5"/>
  <c r="G115" i="5"/>
  <c r="G91" i="5"/>
  <c r="G85" i="5"/>
  <c r="G67" i="5"/>
  <c r="G43" i="5"/>
  <c r="G13" i="5"/>
  <c r="G78" i="5"/>
  <c r="G30" i="5"/>
  <c r="F2" i="5"/>
  <c r="G2" i="5" s="1"/>
  <c r="G103" i="5"/>
  <c r="G79" i="5"/>
  <c r="G55" i="5"/>
  <c r="G31" i="5"/>
  <c r="G25" i="5"/>
  <c r="G121" i="5"/>
  <c r="G120" i="5"/>
  <c r="G114" i="5"/>
  <c r="G108" i="5"/>
  <c r="G102" i="5"/>
  <c r="G96" i="5"/>
  <c r="G84" i="5"/>
  <c r="G72" i="5"/>
  <c r="G60" i="5"/>
  <c r="G54" i="5"/>
  <c r="G48" i="5"/>
  <c r="G36" i="5"/>
  <c r="G18" i="5"/>
  <c r="G6" i="5"/>
  <c r="G89" i="5"/>
  <c r="G35" i="5"/>
  <c r="G111" i="5"/>
  <c r="G70" i="5"/>
  <c r="G9" i="5"/>
  <c r="G26" i="5"/>
  <c r="G41" i="5"/>
  <c r="G68" i="5"/>
  <c r="G5" i="5"/>
  <c r="G112" i="5"/>
  <c r="G76" i="5"/>
  <c r="G119" i="5"/>
  <c r="G122" i="5"/>
  <c r="G107" i="5"/>
  <c r="G83" i="5"/>
  <c r="G118" i="5"/>
  <c r="G88" i="5"/>
  <c r="G15" i="5"/>
  <c r="G65" i="5"/>
  <c r="G22" i="5"/>
  <c r="G74" i="5"/>
  <c r="G92" i="5"/>
  <c r="G10" i="5"/>
  <c r="G62" i="5"/>
  <c r="G44" i="5"/>
  <c r="G21" i="5"/>
  <c r="G11" i="5"/>
  <c r="G104" i="5"/>
  <c r="G38" i="5"/>
  <c r="G20" i="5"/>
  <c r="G57" i="5"/>
  <c r="G17" i="5"/>
  <c r="G87" i="5"/>
  <c r="G80" i="5"/>
  <c r="G32" i="5"/>
  <c r="G77" i="5"/>
  <c r="G28" i="5"/>
  <c r="G63" i="5"/>
  <c r="G64" i="5"/>
  <c r="G16" i="5"/>
  <c r="G51" i="5"/>
  <c r="G39" i="5"/>
  <c r="G81" i="5"/>
  <c r="G82" i="5"/>
  <c r="G47" i="5"/>
  <c r="G106" i="5"/>
  <c r="G40" i="5"/>
  <c r="G86" i="5"/>
  <c r="G34" i="5"/>
  <c r="G3" i="5"/>
  <c r="G52" i="5"/>
  <c r="G105" i="5"/>
  <c r="G71" i="5"/>
  <c r="G95" i="5"/>
  <c r="G93" i="5"/>
  <c r="G50" i="5"/>
  <c r="G33" i="5"/>
  <c r="G58" i="5"/>
  <c r="G101" i="5"/>
  <c r="G99" i="5"/>
  <c r="G69" i="5"/>
  <c r="G116" i="5"/>
  <c r="G14" i="5"/>
  <c r="G100" i="5"/>
  <c r="G75" i="5"/>
  <c r="G53" i="5"/>
  <c r="G113" i="5"/>
  <c r="G59" i="5"/>
  <c r="G29" i="5"/>
  <c r="G94" i="5"/>
  <c r="G110" i="5"/>
  <c r="G27" i="5"/>
  <c r="G98" i="5"/>
  <c r="G56" i="5"/>
  <c r="G117" i="5"/>
  <c r="G23" i="5"/>
  <c r="G46" i="5"/>
  <c r="G4" i="5"/>
  <c r="F2" i="3"/>
  <c r="G2" i="3" s="1"/>
  <c r="A58" i="2" l="1"/>
  <c r="A55" i="2"/>
  <c r="A56" i="2" s="1"/>
  <c r="A57" i="2" s="1"/>
  <c r="F9" i="7"/>
  <c r="G8" i="7"/>
  <c r="A59" i="2" l="1"/>
  <c r="A60" i="2" s="1"/>
  <c r="A61" i="2" s="1"/>
  <c r="A62" i="2"/>
  <c r="C10" i="6"/>
  <c r="F10" i="7"/>
  <c r="G9" i="7"/>
  <c r="A63" i="2" l="1"/>
  <c r="A64" i="2" s="1"/>
  <c r="A65" i="2" s="1"/>
  <c r="A66" i="2"/>
  <c r="C11" i="6"/>
  <c r="G10" i="7"/>
  <c r="F11" i="7"/>
  <c r="A70" i="2" l="1"/>
  <c r="A67" i="2"/>
  <c r="A68" i="2" s="1"/>
  <c r="A69" i="2" s="1"/>
  <c r="C12" i="6"/>
  <c r="F12" i="7"/>
  <c r="G11" i="7"/>
  <c r="A71" i="2" l="1"/>
  <c r="A72" i="2" s="1"/>
  <c r="A73" i="2" s="1"/>
  <c r="A74" i="2"/>
  <c r="C13" i="6"/>
  <c r="F13" i="7"/>
  <c r="G12" i="7"/>
  <c r="A75" i="2" l="1"/>
  <c r="A76" i="2" s="1"/>
  <c r="A77" i="2" s="1"/>
  <c r="A78" i="2"/>
  <c r="C14" i="6"/>
  <c r="F14" i="7"/>
  <c r="G13" i="7"/>
  <c r="A82" i="2" l="1"/>
  <c r="A79" i="2"/>
  <c r="A80" i="2" s="1"/>
  <c r="A81" i="2" s="1"/>
  <c r="C15" i="6"/>
  <c r="G14" i="7"/>
  <c r="F15" i="7"/>
  <c r="A83" i="2" l="1"/>
  <c r="A84" i="2" s="1"/>
  <c r="A85" i="2" s="1"/>
  <c r="A86" i="2"/>
  <c r="C16" i="6"/>
  <c r="F16" i="7"/>
  <c r="G15" i="7"/>
  <c r="A87" i="2" l="1"/>
  <c r="A88" i="2" s="1"/>
  <c r="A89" i="2" s="1"/>
  <c r="A90" i="2"/>
  <c r="C17" i="6"/>
  <c r="F17" i="7"/>
  <c r="G16" i="7"/>
  <c r="A94" i="2" l="1"/>
  <c r="A91" i="2"/>
  <c r="A92" i="2" s="1"/>
  <c r="A93" i="2" s="1"/>
  <c r="C18" i="6"/>
  <c r="F18" i="7"/>
  <c r="G17" i="7"/>
  <c r="A95" i="2" l="1"/>
  <c r="A96" i="2" s="1"/>
  <c r="A97" i="2" s="1"/>
  <c r="A98" i="2"/>
  <c r="C19" i="6"/>
  <c r="G18" i="7"/>
  <c r="F19" i="7"/>
  <c r="A99" i="2" l="1"/>
  <c r="A100" i="2" s="1"/>
  <c r="A101" i="2" s="1"/>
  <c r="A102" i="2"/>
  <c r="C20" i="6"/>
  <c r="F20" i="7"/>
  <c r="G19" i="7"/>
  <c r="A106" i="2" l="1"/>
  <c r="A103" i="2"/>
  <c r="A104" i="2" s="1"/>
  <c r="A105" i="2" s="1"/>
  <c r="C21" i="6"/>
  <c r="F21" i="7"/>
  <c r="G20" i="7"/>
  <c r="A107" i="2" l="1"/>
  <c r="A108" i="2" s="1"/>
  <c r="A109" i="2" s="1"/>
  <c r="A110" i="2"/>
  <c r="C22" i="6"/>
  <c r="F22" i="7"/>
  <c r="G21" i="7"/>
  <c r="A111" i="2" l="1"/>
  <c r="A112" i="2" s="1"/>
  <c r="A113" i="2" s="1"/>
  <c r="A114" i="2"/>
  <c r="C23" i="6"/>
  <c r="G22" i="7"/>
  <c r="F23" i="7"/>
  <c r="A118" i="2" l="1"/>
  <c r="A115" i="2"/>
  <c r="A116" i="2" s="1"/>
  <c r="A117" i="2" s="1"/>
  <c r="C24" i="6"/>
  <c r="F24" i="7"/>
  <c r="G23" i="7"/>
  <c r="A119" i="2" l="1"/>
  <c r="A120" i="2" s="1"/>
  <c r="A121" i="2" s="1"/>
  <c r="A122" i="2"/>
  <c r="C25" i="6"/>
  <c r="F25" i="7"/>
  <c r="G24" i="7"/>
  <c r="A123" i="2" l="1"/>
  <c r="A124" i="2" s="1"/>
  <c r="A125" i="2" s="1"/>
  <c r="A126" i="2"/>
  <c r="C26" i="6"/>
  <c r="F26" i="7"/>
  <c r="G25" i="7"/>
  <c r="A130" i="2" l="1"/>
  <c r="A127" i="2"/>
  <c r="A128" i="2" s="1"/>
  <c r="A129" i="2" s="1"/>
  <c r="C27" i="6"/>
  <c r="G26" i="7"/>
  <c r="F27" i="7"/>
  <c r="C28" i="6" l="1"/>
  <c r="F28" i="7"/>
  <c r="G27" i="7"/>
  <c r="C29" i="6" l="1"/>
  <c r="F29" i="7"/>
  <c r="G28" i="7"/>
  <c r="C30" i="6" l="1"/>
  <c r="F30" i="7"/>
  <c r="G29" i="7"/>
  <c r="C31" i="6" l="1"/>
  <c r="G30" i="7"/>
  <c r="F31" i="7"/>
  <c r="C32" i="6" l="1"/>
  <c r="F32" i="7"/>
  <c r="G31" i="7"/>
  <c r="C33" i="6" l="1"/>
  <c r="F33" i="7"/>
  <c r="G32" i="7"/>
  <c r="C34" i="6" l="1"/>
  <c r="F34" i="7"/>
  <c r="G33" i="7"/>
  <c r="C35" i="6" l="1"/>
  <c r="G34" i="7"/>
  <c r="F35" i="7"/>
  <c r="C36" i="6" l="1"/>
  <c r="F36" i="7"/>
  <c r="G35" i="7"/>
  <c r="C37" i="6" l="1"/>
  <c r="F37" i="7"/>
  <c r="G36" i="7"/>
  <c r="C38" i="6" l="1"/>
  <c r="F38" i="7"/>
  <c r="G37" i="7"/>
  <c r="C39" i="6" l="1"/>
  <c r="G38" i="7"/>
  <c r="F39" i="7"/>
  <c r="C40" i="6" l="1"/>
  <c r="F40" i="7"/>
  <c r="G39" i="7"/>
  <c r="C41" i="6" l="1"/>
  <c r="F41" i="7"/>
  <c r="G40" i="7"/>
  <c r="C42" i="6" l="1"/>
  <c r="F42" i="7"/>
  <c r="G41" i="7"/>
  <c r="C43" i="6" l="1"/>
  <c r="G42" i="7"/>
  <c r="F43" i="7"/>
  <c r="C44" i="6" l="1"/>
  <c r="F44" i="7"/>
  <c r="G43" i="7"/>
  <c r="C45" i="6" l="1"/>
  <c r="F45" i="7"/>
  <c r="G44" i="7"/>
  <c r="C46" i="6" l="1"/>
  <c r="F46" i="7"/>
  <c r="G45" i="7"/>
  <c r="C47" i="6" l="1"/>
  <c r="G46" i="7"/>
  <c r="F47" i="7"/>
  <c r="C48" i="6" l="1"/>
  <c r="F48" i="7"/>
  <c r="G47" i="7"/>
  <c r="C49" i="6" l="1"/>
  <c r="F49" i="7"/>
  <c r="G48" i="7"/>
  <c r="C50" i="6" l="1"/>
  <c r="F50" i="7"/>
  <c r="G49" i="7"/>
  <c r="C51" i="6" l="1"/>
  <c r="G50" i="7"/>
  <c r="F51" i="7"/>
  <c r="C52" i="6" l="1"/>
  <c r="F52" i="7"/>
  <c r="G51" i="7"/>
  <c r="C53" i="6" l="1"/>
  <c r="F53" i="7"/>
  <c r="G52" i="7"/>
  <c r="C54" i="6" l="1"/>
  <c r="F54" i="7"/>
  <c r="G53" i="7"/>
  <c r="C55" i="6" l="1"/>
  <c r="G54" i="7"/>
  <c r="F55" i="7"/>
  <c r="C56" i="6" l="1"/>
  <c r="F56" i="7"/>
  <c r="G55" i="7"/>
  <c r="C57" i="6" l="1"/>
  <c r="F57" i="7"/>
  <c r="G56" i="7"/>
  <c r="C58" i="6" l="1"/>
  <c r="F58" i="7"/>
  <c r="G57" i="7"/>
  <c r="C59" i="6" l="1"/>
  <c r="G58" i="7"/>
  <c r="F59" i="7"/>
  <c r="C60" i="6" l="1"/>
  <c r="F60" i="7"/>
  <c r="G59" i="7"/>
  <c r="C61" i="6" l="1"/>
  <c r="F61" i="7"/>
  <c r="G60" i="7"/>
  <c r="C62" i="6" l="1"/>
  <c r="F62" i="7"/>
  <c r="G61" i="7"/>
  <c r="C63" i="6" l="1"/>
  <c r="G62" i="7"/>
  <c r="F63" i="7"/>
  <c r="C64" i="6" l="1"/>
  <c r="F64" i="7"/>
  <c r="G63" i="7"/>
  <c r="C65" i="6" l="1"/>
  <c r="F65" i="7"/>
  <c r="G64" i="7"/>
  <c r="C66" i="6" l="1"/>
  <c r="F66" i="7"/>
  <c r="G65" i="7"/>
  <c r="C67" i="6" l="1"/>
  <c r="G66" i="7"/>
  <c r="F67" i="7"/>
  <c r="C68" i="6" l="1"/>
  <c r="F68" i="7"/>
  <c r="G67" i="7"/>
  <c r="C69" i="6" l="1"/>
  <c r="F69" i="7"/>
  <c r="G68" i="7"/>
  <c r="C70" i="6" l="1"/>
  <c r="F70" i="7"/>
  <c r="G69" i="7"/>
  <c r="C71" i="6" l="1"/>
  <c r="G70" i="7"/>
  <c r="F71" i="7"/>
  <c r="C72" i="6" l="1"/>
  <c r="F72" i="7"/>
  <c r="G71" i="7"/>
  <c r="C73" i="6" l="1"/>
  <c r="F73" i="7"/>
  <c r="G72" i="7"/>
  <c r="C74" i="6" l="1"/>
  <c r="F74" i="7"/>
  <c r="G73" i="7"/>
  <c r="C75" i="6" l="1"/>
  <c r="G74" i="7"/>
  <c r="F75" i="7"/>
  <c r="C76" i="6" l="1"/>
  <c r="F76" i="7"/>
  <c r="G75" i="7"/>
  <c r="C77" i="6" l="1"/>
  <c r="F77" i="7"/>
  <c r="G76" i="7"/>
  <c r="C78" i="6" l="1"/>
  <c r="F78" i="7"/>
  <c r="G77" i="7"/>
  <c r="C79" i="6" l="1"/>
  <c r="G78" i="7"/>
  <c r="F79" i="7"/>
  <c r="C80" i="6" l="1"/>
  <c r="F80" i="7"/>
  <c r="G79" i="7"/>
  <c r="C81" i="6" l="1"/>
  <c r="F81" i="7"/>
  <c r="G80" i="7"/>
  <c r="C82" i="6" l="1"/>
  <c r="F82" i="7"/>
  <c r="G81" i="7"/>
  <c r="C83" i="6" l="1"/>
  <c r="G82" i="7"/>
  <c r="F83" i="7"/>
  <c r="C84" i="6" l="1"/>
  <c r="F84" i="7"/>
  <c r="G83" i="7"/>
  <c r="C85" i="6" l="1"/>
  <c r="F85" i="7"/>
  <c r="G84" i="7"/>
  <c r="C86" i="6" l="1"/>
  <c r="F86" i="7"/>
  <c r="G85" i="7"/>
  <c r="C87" i="6" l="1"/>
  <c r="G86" i="7"/>
  <c r="F87" i="7"/>
  <c r="C88" i="6" l="1"/>
  <c r="F88" i="7"/>
  <c r="G87" i="7"/>
  <c r="C89" i="6" l="1"/>
  <c r="F89" i="7"/>
  <c r="G88" i="7"/>
  <c r="C90" i="6" l="1"/>
  <c r="F90" i="7"/>
  <c r="G89" i="7"/>
  <c r="C91" i="6" l="1"/>
  <c r="G90" i="7"/>
  <c r="F91" i="7"/>
  <c r="C92" i="6" l="1"/>
  <c r="F92" i="7"/>
  <c r="G91" i="7"/>
  <c r="C93" i="6" l="1"/>
  <c r="F93" i="7"/>
  <c r="G92" i="7"/>
  <c r="C94" i="6" l="1"/>
  <c r="F94" i="7"/>
  <c r="G93" i="7"/>
  <c r="C95" i="6" l="1"/>
  <c r="G94" i="7"/>
  <c r="F95" i="7"/>
  <c r="C96" i="6" l="1"/>
  <c r="F96" i="7"/>
  <c r="G95" i="7"/>
  <c r="C97" i="6" l="1"/>
  <c r="F97" i="7"/>
  <c r="G96" i="7"/>
  <c r="C98" i="6" l="1"/>
  <c r="F98" i="7"/>
  <c r="G97" i="7"/>
  <c r="C99" i="6" l="1"/>
  <c r="G98" i="7"/>
  <c r="F99" i="7"/>
  <c r="C100" i="6" l="1"/>
  <c r="F100" i="7"/>
  <c r="G99" i="7"/>
  <c r="C101" i="6" l="1"/>
  <c r="F101" i="7"/>
  <c r="G100" i="7"/>
  <c r="C102" i="6" l="1"/>
  <c r="F102" i="7"/>
  <c r="G101" i="7"/>
  <c r="C103" i="6" l="1"/>
  <c r="G102" i="7"/>
  <c r="F103" i="7"/>
  <c r="C104" i="6" l="1"/>
  <c r="F104" i="7"/>
  <c r="G103" i="7"/>
  <c r="C105" i="6" l="1"/>
  <c r="F105" i="7"/>
  <c r="G104" i="7"/>
  <c r="C106" i="6" l="1"/>
  <c r="F106" i="7"/>
  <c r="G105" i="7"/>
  <c r="C107" i="6" l="1"/>
  <c r="G106" i="7"/>
  <c r="F107" i="7"/>
  <c r="C108" i="6" l="1"/>
  <c r="F108" i="7"/>
  <c r="G107" i="7"/>
  <c r="C109" i="6" l="1"/>
  <c r="F109" i="7"/>
  <c r="G108" i="7"/>
  <c r="C110" i="6" l="1"/>
  <c r="F110" i="7"/>
  <c r="G109" i="7"/>
  <c r="C111" i="6" l="1"/>
  <c r="G110" i="7"/>
  <c r="F111" i="7"/>
  <c r="C112" i="6" l="1"/>
  <c r="F112" i="7"/>
  <c r="G111" i="7"/>
  <c r="C113" i="6" l="1"/>
  <c r="F113" i="7"/>
  <c r="G112" i="7"/>
  <c r="C114" i="6" l="1"/>
  <c r="F114" i="7"/>
  <c r="G113" i="7"/>
  <c r="C115" i="6" l="1"/>
  <c r="G114" i="7"/>
  <c r="F115" i="7"/>
  <c r="C116" i="6" l="1"/>
  <c r="F116" i="7"/>
  <c r="G115" i="7"/>
  <c r="C117" i="6" l="1"/>
  <c r="F117" i="7"/>
  <c r="G116" i="7"/>
  <c r="C118" i="6" l="1"/>
  <c r="F118" i="7"/>
  <c r="G117" i="7"/>
  <c r="C119" i="6" l="1"/>
  <c r="G118" i="7"/>
  <c r="F119" i="7"/>
  <c r="C120" i="6" l="1"/>
  <c r="F120" i="7"/>
  <c r="G119" i="7"/>
  <c r="C121" i="6" l="1"/>
  <c r="F121" i="7"/>
  <c r="G120" i="7"/>
  <c r="C122" i="6" l="1"/>
  <c r="F122" i="7"/>
  <c r="G121" i="7"/>
  <c r="C123" i="6" l="1"/>
  <c r="G122" i="7"/>
  <c r="F123" i="7"/>
  <c r="C124" i="6" l="1"/>
  <c r="F124" i="7"/>
  <c r="G123" i="7"/>
  <c r="C125" i="6" l="1"/>
  <c r="F125" i="7"/>
  <c r="G125" i="7" s="1"/>
  <c r="G124" i="7"/>
  <c r="C126" i="6" l="1"/>
  <c r="C127" i="6"/>
  <c r="E135" i="9"/>
  <c r="F135" i="9" s="1"/>
  <c r="G135" i="9"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<sst xmlns="http://schemas.openxmlformats.org/spreadsheetml/2006/main" count="2130" uniqueCount="1238">
  <si>
    <t>code</t>
  </si>
  <si>
    <t>time</t>
  </si>
  <si>
    <t>logydsa</t>
  </si>
  <si>
    <t>loginvdsa</t>
  </si>
  <si>
    <t>tbysa</t>
  </si>
  <si>
    <t>logrus</t>
  </si>
  <si>
    <t>logi</t>
  </si>
  <si>
    <t>-.01575</t>
  </si>
  <si>
    <t>-.1135455</t>
  </si>
  <si>
    <t>.0253523</t>
  </si>
  <si>
    <t>.007174</t>
  </si>
  <si>
    <t>-.014127</t>
  </si>
  <si>
    <t>-.0959538</t>
  </si>
  <si>
    <t>.0171985</t>
  </si>
  <si>
    <t>.0192438</t>
  </si>
  <si>
    <t>-.007504</t>
  </si>
  <si>
    <t>-.0533622</t>
  </si>
  <si>
    <t>-.0049553</t>
  </si>
  <si>
    <t>.0254314</t>
  </si>
  <si>
    <t>.002119</t>
  </si>
  <si>
    <t>-.0277705</t>
  </si>
  <si>
    <t>.0098909</t>
  </si>
  <si>
    <t>.0320287</t>
  </si>
  <si>
    <t>.0007419</t>
  </si>
  <si>
    <t>-.0231789</t>
  </si>
  <si>
    <t>-.0082628</t>
  </si>
  <si>
    <t>.040839</t>
  </si>
  <si>
    <t>.0643602</t>
  </si>
  <si>
    <t>-.0036351</t>
  </si>
  <si>
    <t>-.0005872</t>
  </si>
  <si>
    <t>-.0114166</t>
  </si>
  <si>
    <t>.0393857</t>
  </si>
  <si>
    <t>.0740769</t>
  </si>
  <si>
    <t>-.0050121</t>
  </si>
  <si>
    <t>-.0129956</t>
  </si>
  <si>
    <t>.0014296</t>
  </si>
  <si>
    <t>.0355326</t>
  </si>
  <si>
    <t>.0598349</t>
  </si>
  <si>
    <t>-.0073891</t>
  </si>
  <si>
    <t>-.010404</t>
  </si>
  <si>
    <t>-.0057242</t>
  </si>
  <si>
    <t>.038806</t>
  </si>
  <si>
    <t>.0593927</t>
  </si>
  <si>
    <t>.0012339</t>
  </si>
  <si>
    <t>.0101877</t>
  </si>
  <si>
    <t>.0001221</t>
  </si>
  <si>
    <t>.0301179</t>
  </si>
  <si>
    <t>.048056</t>
  </si>
  <si>
    <t>.0118569</t>
  </si>
  <si>
    <t>.0307793</t>
  </si>
  <si>
    <t>-.0070317</t>
  </si>
  <si>
    <t>.0332429</t>
  </si>
  <si>
    <t>.048624</t>
  </si>
  <si>
    <t>.0174798</t>
  </si>
  <si>
    <t>.049371</t>
  </si>
  <si>
    <t>-.0011855</t>
  </si>
  <si>
    <t>.0381779</t>
  </si>
  <si>
    <t>.05474</t>
  </si>
  <si>
    <t>.0211028</t>
  </si>
  <si>
    <t>.0609626</t>
  </si>
  <si>
    <t>-.0023393</t>
  </si>
  <si>
    <t>.0335721</t>
  </si>
  <si>
    <t>.0452042</t>
  </si>
  <si>
    <t>.0187258</t>
  </si>
  <si>
    <t>.0695543</t>
  </si>
  <si>
    <t>-.010493</t>
  </si>
  <si>
    <t>.0328583</t>
  </si>
  <si>
    <t>.0432046</t>
  </si>
  <si>
    <t>.0163488</t>
  </si>
  <si>
    <t>.0661459</t>
  </si>
  <si>
    <t>-.0046468</t>
  </si>
  <si>
    <t>.0369045</t>
  </si>
  <si>
    <t>.0448726</t>
  </si>
  <si>
    <t>.0129718</t>
  </si>
  <si>
    <t>.0567375</t>
  </si>
  <si>
    <t>-.0048006</t>
  </si>
  <si>
    <t>.0350084</t>
  </si>
  <si>
    <t>.0429766</t>
  </si>
  <si>
    <t>.0075948</t>
  </si>
  <si>
    <t>.0483292</t>
  </si>
  <si>
    <t>-.0049544</t>
  </si>
  <si>
    <t>.0349282</t>
  </si>
  <si>
    <t>.0428964</t>
  </si>
  <si>
    <t>.0042177</t>
  </si>
  <si>
    <t>.0619208</t>
  </si>
  <si>
    <t>.0028919</t>
  </si>
  <si>
    <t>.0353035</t>
  </si>
  <si>
    <t>.0432717</t>
  </si>
  <si>
    <t>-.0011593</t>
  </si>
  <si>
    <t>.0575125</t>
  </si>
  <si>
    <t>-.0002619</t>
  </si>
  <si>
    <t>.0394662</t>
  </si>
  <si>
    <t>.0474344</t>
  </si>
  <si>
    <t>-.0085363</t>
  </si>
  <si>
    <t>.0861041</t>
  </si>
  <si>
    <t>-.0144157</t>
  </si>
  <si>
    <t>.0447387</t>
  </si>
  <si>
    <t>.0527069</t>
  </si>
  <si>
    <t>-.0119133</t>
  </si>
  <si>
    <t>.1006957</t>
  </si>
  <si>
    <t>-.0155695</t>
  </si>
  <si>
    <t>.0334067</t>
  </si>
  <si>
    <t>.0413749</t>
  </si>
  <si>
    <t>-.0112903</t>
  </si>
  <si>
    <t>.0202874</t>
  </si>
  <si>
    <t>.0122768</t>
  </si>
  <si>
    <t>.0328529</t>
  </si>
  <si>
    <t>.040821</t>
  </si>
  <si>
    <t>-.0126673</t>
  </si>
  <si>
    <t>-.017121</t>
  </si>
  <si>
    <t>-.001877</t>
  </si>
  <si>
    <t>.0333959</t>
  </si>
  <si>
    <t>.0413641</t>
  </si>
  <si>
    <t>-.0090444</t>
  </si>
  <si>
    <t>-.0345293</t>
  </si>
  <si>
    <t>.0009692</t>
  </si>
  <si>
    <t>.0375427</t>
  </si>
  <si>
    <t>.0455109</t>
  </si>
  <si>
    <t>-.0064214</t>
  </si>
  <si>
    <t>-.0349377</t>
  </si>
  <si>
    <t>.0008154</t>
  </si>
  <si>
    <t>.0377168</t>
  </si>
  <si>
    <t>.045685</t>
  </si>
  <si>
    <t>-.0047984</t>
  </si>
  <si>
    <t>-.035346</t>
  </si>
  <si>
    <t>-.0043383</t>
  </si>
  <si>
    <t>.0386172</t>
  </si>
  <si>
    <t>.0465853</t>
  </si>
  <si>
    <t>-.0031754</t>
  </si>
  <si>
    <t>-.0317544</t>
  </si>
  <si>
    <t>-.0004921</t>
  </si>
  <si>
    <t>.0440036</t>
  </si>
  <si>
    <t>.0519718</t>
  </si>
  <si>
    <t>.0004476</t>
  </si>
  <si>
    <t>-.0401628</t>
  </si>
  <si>
    <t>.0013541</t>
  </si>
  <si>
    <t>.039861</t>
  </si>
  <si>
    <t>.0478292</t>
  </si>
  <si>
    <t>.0020706</t>
  </si>
  <si>
    <t>-.0395711</t>
  </si>
  <si>
    <t>.0092003</t>
  </si>
  <si>
    <t>.0431779</t>
  </si>
  <si>
    <t>.051146</t>
  </si>
  <si>
    <t>.0016935</t>
  </si>
  <si>
    <t>-.0389795</t>
  </si>
  <si>
    <t>.0070466</t>
  </si>
  <si>
    <t>.0404402</t>
  </si>
  <si>
    <t>.0484084</t>
  </si>
  <si>
    <t>.0023165</t>
  </si>
  <si>
    <t>-.0263878</t>
  </si>
  <si>
    <t>.0098928</t>
  </si>
  <si>
    <t>.0221311</t>
  </si>
  <si>
    <t>.0300993</t>
  </si>
  <si>
    <t>-.0000605</t>
  </si>
  <si>
    <t>-.0347962</t>
  </si>
  <si>
    <t>.005739</t>
  </si>
  <si>
    <t>.0194032</t>
  </si>
  <si>
    <t>.0273714</t>
  </si>
  <si>
    <t>.0015625</t>
  </si>
  <si>
    <t>-.0472045</t>
  </si>
  <si>
    <t>-.0014148</t>
  </si>
  <si>
    <t>-.0006314</t>
  </si>
  <si>
    <t>.0073368</t>
  </si>
  <si>
    <t>-.0275341</t>
  </si>
  <si>
    <t>-.0072365</t>
  </si>
  <si>
    <t>-.0176576</t>
  </si>
  <si>
    <t>.0419618</t>
  </si>
  <si>
    <t>-.0043182</t>
  </si>
  <si>
    <t>.0359319</t>
  </si>
  <si>
    <t>-.0159105</t>
  </si>
  <si>
    <t>.089143</t>
  </si>
  <si>
    <t>-.0071023</t>
  </si>
  <si>
    <t>.0361002</t>
  </si>
  <si>
    <t>-.0101634</t>
  </si>
  <si>
    <t>.097566</t>
  </si>
  <si>
    <t>.0011136</t>
  </si>
  <si>
    <t>.0452685</t>
  </si>
  <si>
    <t>-.0044163</t>
  </si>
  <si>
    <t>.0949096</t>
  </si>
  <si>
    <t>-.0206705</t>
  </si>
  <si>
    <t>-.0045632</t>
  </si>
  <si>
    <t>.0043309</t>
  </si>
  <si>
    <t>.1395977</t>
  </si>
  <si>
    <t>-.0564545</t>
  </si>
  <si>
    <t>-.1213949</t>
  </si>
  <si>
    <t>.023078</t>
  </si>
  <si>
    <t>.1704139</t>
  </si>
  <si>
    <t>-.0682386</t>
  </si>
  <si>
    <t>-.1452266</t>
  </si>
  <si>
    <t>.0168251</t>
  </si>
  <si>
    <t>.1451042</t>
  </si>
  <si>
    <t>-.0650227</t>
  </si>
  <si>
    <t>-.1630583</t>
  </si>
  <si>
    <t>.0125722</t>
  </si>
  <si>
    <t>.1471222</t>
  </si>
  <si>
    <t>-.0408068</t>
  </si>
  <si>
    <t>-.11089</t>
  </si>
  <si>
    <t>.0113194</t>
  </si>
  <si>
    <t>.1139994</t>
  </si>
  <si>
    <t>-.0225909</t>
  </si>
  <si>
    <t>-.0757217</t>
  </si>
  <si>
    <t>.0110665</t>
  </si>
  <si>
    <t>.1163885</t>
  </si>
  <si>
    <t>-.004375</t>
  </si>
  <si>
    <t>-.0215534</t>
  </si>
  <si>
    <t>.0108136</t>
  </si>
  <si>
    <t>.1089159</t>
  </si>
  <si>
    <t>.0088409</t>
  </si>
  <si>
    <t>-.0063851</t>
  </si>
  <si>
    <t>.0115608</t>
  </si>
  <si>
    <t>.0897634</t>
  </si>
  <si>
    <t>.0260568</t>
  </si>
  <si>
    <t>.0197833</t>
  </si>
  <si>
    <t>.0023079</t>
  </si>
  <si>
    <t>.0810769</t>
  </si>
  <si>
    <t>.0372727</t>
  </si>
  <si>
    <t>.0829516</t>
  </si>
  <si>
    <t>-.006945</t>
  </si>
  <si>
    <t>.0797724</t>
  </si>
  <si>
    <t>.0604886</t>
  </si>
  <si>
    <t>.1121199</t>
  </si>
  <si>
    <t>-.0081979</t>
  </si>
  <si>
    <t>.0673788</t>
  </si>
  <si>
    <t>.0677045</t>
  </si>
  <si>
    <t>.1382882</t>
  </si>
  <si>
    <t>-.0104507</t>
  </si>
  <si>
    <t>.0647782</t>
  </si>
  <si>
    <t>.0699205</t>
  </si>
  <si>
    <t>.1854565</t>
  </si>
  <si>
    <t>-.0137036</t>
  </si>
  <si>
    <t>.0803725</t>
  </si>
  <si>
    <t>.0871364</t>
  </si>
  <si>
    <t>.1866248</t>
  </si>
  <si>
    <t>-.0109565</t>
  </si>
  <si>
    <t>.0785908</t>
  </si>
  <si>
    <t>.0773523</t>
  </si>
  <si>
    <t>.1507931</t>
  </si>
  <si>
    <t>-.0092094</t>
  </si>
  <si>
    <t>.0938145</t>
  </si>
  <si>
    <t>.0485682</t>
  </si>
  <si>
    <t>.0989614</t>
  </si>
  <si>
    <t>-.0074622</t>
  </si>
  <si>
    <t>.1292622</t>
  </si>
  <si>
    <t>.0307841</t>
  </si>
  <si>
    <t>.0091297</t>
  </si>
  <si>
    <t>-.0037151</t>
  </si>
  <si>
    <t>.1011655</t>
  </si>
  <si>
    <t>.019</t>
  </si>
  <si>
    <t>.004298</t>
  </si>
  <si>
    <t>-.001968</t>
  </si>
  <si>
    <t>.0976844</t>
  </si>
  <si>
    <t>.0112159</t>
  </si>
  <si>
    <t>-.0005337</t>
  </si>
  <si>
    <t>-.0062209</t>
  </si>
  <si>
    <t>.1121862</t>
  </si>
  <si>
    <t>.0244318</t>
  </si>
  <si>
    <t>.0186346</t>
  </si>
  <si>
    <t>-.0014737</t>
  </si>
  <si>
    <t>.1022866</t>
  </si>
  <si>
    <t>.0146477</t>
  </si>
  <si>
    <t>-.044197</t>
  </si>
  <si>
    <t>.0042734</t>
  </si>
  <si>
    <t>.0888349</t>
  </si>
  <si>
    <t>-.0011364</t>
  </si>
  <si>
    <t>-.1040287</t>
  </si>
  <si>
    <t>.0040205</t>
  </si>
  <si>
    <t>.1001949</t>
  </si>
  <si>
    <t>-.0089205</t>
  </si>
  <si>
    <t>-.1538604</t>
  </si>
  <si>
    <t>.0067677</t>
  </si>
  <si>
    <t>.1046182</t>
  </si>
  <si>
    <t>-.0097045</t>
  </si>
  <si>
    <t>-.1656921</t>
  </si>
  <si>
    <t>.0095148</t>
  </si>
  <si>
    <t>.1089656</t>
  </si>
  <si>
    <t>-.048733</t>
  </si>
  <si>
    <t>.0666136</t>
  </si>
  <si>
    <t>-.068375</t>
  </si>
  <si>
    <t>-.0382945</t>
  </si>
  <si>
    <t>-.0408897</t>
  </si>
  <si>
    <t>-.0719778</t>
  </si>
  <si>
    <t>-.0058561</t>
  </si>
  <si>
    <t>-.087393</t>
  </si>
  <si>
    <t>.0804194</t>
  </si>
  <si>
    <t>.1368833</t>
  </si>
  <si>
    <t>.0275823</t>
  </si>
  <si>
    <t>.1351037</t>
  </si>
  <si>
    <t>.0408165</t>
  </si>
  <si>
    <t>.1019278</t>
  </si>
  <si>
    <t>.0340207</t>
  </si>
  <si>
    <t>.0686004</t>
  </si>
  <si>
    <t>.0102137</t>
  </si>
  <si>
    <t>.1291245</t>
  </si>
  <si>
    <t>.0084591</t>
  </si>
  <si>
    <t>.0630971</t>
  </si>
  <si>
    <t>-.0003891</t>
  </si>
  <si>
    <t>.1741788</t>
  </si>
  <si>
    <t>-.0111025</t>
  </si>
  <si>
    <t>-.0324062</t>
  </si>
  <si>
    <t>.0070081</t>
  </si>
  <si>
    <t>.140343</t>
  </si>
  <si>
    <t>-.009664</t>
  </si>
  <si>
    <t>-.0539095</t>
  </si>
  <si>
    <t>.0124052</t>
  </si>
  <si>
    <t>.1308381</t>
  </si>
  <si>
    <t>-.0112256</t>
  </si>
  <si>
    <t>-.0894128</t>
  </si>
  <si>
    <t>.0208024</t>
  </si>
  <si>
    <t>.1193185</t>
  </si>
  <si>
    <t>-.0017872</t>
  </si>
  <si>
    <t>-.0609161</t>
  </si>
  <si>
    <t>.0101996</t>
  </si>
  <si>
    <t>.1139008</t>
  </si>
  <si>
    <t>.0266512</t>
  </si>
  <si>
    <t>-.0124194</t>
  </si>
  <si>
    <t>-.0024032</t>
  </si>
  <si>
    <t>.1050886</t>
  </si>
  <si>
    <t>.0190896</t>
  </si>
  <si>
    <t>.0030773</t>
  </si>
  <si>
    <t>-.008006</t>
  </si>
  <si>
    <t>.0848354</t>
  </si>
  <si>
    <t>.012528</t>
  </si>
  <si>
    <t>.003574</t>
  </si>
  <si>
    <t>-.0016089</t>
  </si>
  <si>
    <t>.0838366</t>
  </si>
  <si>
    <t>.0199665</t>
  </si>
  <si>
    <t>.0250707</t>
  </si>
  <si>
    <t>-.0022117</t>
  </si>
  <si>
    <t>.0824513</t>
  </si>
  <si>
    <t>.0244049</t>
  </si>
  <si>
    <t>.0375674</t>
  </si>
  <si>
    <t>-.0068145</t>
  </si>
  <si>
    <t>.0733634</t>
  </si>
  <si>
    <t>.0188433</t>
  </si>
  <si>
    <t>-.0069359</t>
  </si>
  <si>
    <t>-.0014173</t>
  </si>
  <si>
    <t>.0701023</t>
  </si>
  <si>
    <t>-.0017183</t>
  </si>
  <si>
    <t>.0025609</t>
  </si>
  <si>
    <t>-.0020202</t>
  </si>
  <si>
    <t>.0860917</t>
  </si>
  <si>
    <t>.0117201</t>
  </si>
  <si>
    <t>.0050576</t>
  </si>
  <si>
    <t>.000377</t>
  </si>
  <si>
    <t>.0832917</t>
  </si>
  <si>
    <t>.0041585</t>
  </si>
  <si>
    <t>.0045543</t>
  </si>
  <si>
    <t>-.0072258</t>
  </si>
  <si>
    <t>.1073378</t>
  </si>
  <si>
    <t>-.021403</t>
  </si>
  <si>
    <t>-.026949</t>
  </si>
  <si>
    <t>-.0048286</t>
  </si>
  <si>
    <t>.1681124</t>
  </si>
  <si>
    <t>-.0189646</t>
  </si>
  <si>
    <t>-.0594523</t>
  </si>
  <si>
    <t>.0035685</t>
  </si>
  <si>
    <t>.1489456</t>
  </si>
  <si>
    <t>-.0175262</t>
  </si>
  <si>
    <t>-.0539556</t>
  </si>
  <si>
    <t>-.0010343</t>
  </si>
  <si>
    <t>.1300688</t>
  </si>
  <si>
    <t>-.0200878</t>
  </si>
  <si>
    <t>-.0274589</t>
  </si>
  <si>
    <t>-.0006371</t>
  </si>
  <si>
    <t>.1304864</t>
  </si>
  <si>
    <t>-.0076494</t>
  </si>
  <si>
    <t>-.0019622</t>
  </si>
  <si>
    <t>.0007601</t>
  </si>
  <si>
    <t>.1345713</t>
  </si>
  <si>
    <t>.007789</t>
  </si>
  <si>
    <t>.0805345</t>
  </si>
  <si>
    <t>.0011573</t>
  </si>
  <si>
    <t>.0993359</t>
  </si>
  <si>
    <t>.0022275</t>
  </si>
  <si>
    <t>-.0099688</t>
  </si>
  <si>
    <t>-.0004456</t>
  </si>
  <si>
    <t>.1111949</t>
  </si>
  <si>
    <t>-.0003341</t>
  </si>
  <si>
    <t>-.0414721</t>
  </si>
  <si>
    <t>-.0010484</t>
  </si>
  <si>
    <t>.1079868</t>
  </si>
  <si>
    <t>.0081043</t>
  </si>
  <si>
    <t>.0330246</t>
  </si>
  <si>
    <t>-.0096512</t>
  </si>
  <si>
    <t>.1121441</t>
  </si>
  <si>
    <t>.0265427</t>
  </si>
  <si>
    <t>.0575213</t>
  </si>
  <si>
    <t>-.009254</t>
  </si>
  <si>
    <t>.1126679</t>
  </si>
  <si>
    <t>-.0010189</t>
  </si>
  <si>
    <t>.042018</t>
  </si>
  <si>
    <t>-.0048569</t>
  </si>
  <si>
    <t>.1001101</t>
  </si>
  <si>
    <t>-.0155805</t>
  </si>
  <si>
    <t>-.0004853</t>
  </si>
  <si>
    <t>.0055403</t>
  </si>
  <si>
    <t>.1009832</t>
  </si>
  <si>
    <t>-.021142</t>
  </si>
  <si>
    <t>-.0219886</t>
  </si>
  <si>
    <t>.0109375</t>
  </si>
  <si>
    <t>.1111783</t>
  </si>
  <si>
    <t>-.0397557</t>
  </si>
  <si>
    <t>.0000568</t>
  </si>
  <si>
    <t>.0113125</t>
  </si>
  <si>
    <t>-.0342694</t>
  </si>
  <si>
    <t>.008904</t>
  </si>
  <si>
    <t>-.0062016</t>
  </si>
  <si>
    <t>-.0087832</t>
  </si>
  <si>
    <t>.0017511</t>
  </si>
  <si>
    <t>.0072843</t>
  </si>
  <si>
    <t>-.0022969</t>
  </si>
  <si>
    <t>.0265982</t>
  </si>
  <si>
    <t>.0057702</t>
  </si>
  <si>
    <t>-.0138107</t>
  </si>
  <si>
    <t>-.0195546</t>
  </si>
  <si>
    <t>-.019744</t>
  </si>
  <si>
    <t>.0136756</t>
  </si>
  <si>
    <t>-.0207075</t>
  </si>
  <si>
    <t>-.0102581</t>
  </si>
  <si>
    <t>.222457</t>
  </si>
  <si>
    <t>-.0078382</t>
  </si>
  <si>
    <t>.0141397</t>
  </si>
  <si>
    <t>-.0267722</t>
  </si>
  <si>
    <t>.1804984</t>
  </si>
  <si>
    <t>-.0073519</t>
  </si>
  <si>
    <t>.0079868</t>
  </si>
  <si>
    <t>-.0092863</t>
  </si>
  <si>
    <t>.187226</t>
  </si>
  <si>
    <t>.0041343</t>
  </si>
  <si>
    <t>-.0081661</t>
  </si>
  <si>
    <t>.0121996</t>
  </si>
  <si>
    <t>.1716174</t>
  </si>
  <si>
    <t>.0056206</t>
  </si>
  <si>
    <t>-.0153189</t>
  </si>
  <si>
    <t>.0336855</t>
  </si>
  <si>
    <t>.1543094</t>
  </si>
  <si>
    <t>.0091069</t>
  </si>
  <si>
    <t>-.0244718</t>
  </si>
  <si>
    <t>.0571714</t>
  </si>
  <si>
    <t>.1459555</t>
  </si>
  <si>
    <t>.0195931</t>
  </si>
  <si>
    <t>-.0286246</t>
  </si>
  <si>
    <t>.0596573</t>
  </si>
  <si>
    <t>.1221323</t>
  </si>
  <si>
    <t>.0270794</t>
  </si>
  <si>
    <t>.0422225</t>
  </si>
  <si>
    <t>-.0108569</t>
  </si>
  <si>
    <t>.1018245</t>
  </si>
  <si>
    <t>.0405656</t>
  </si>
  <si>
    <t>.0840696</t>
  </si>
  <si>
    <t>-.020371</t>
  </si>
  <si>
    <t>.1185766</t>
  </si>
  <si>
    <t>.0410519</t>
  </si>
  <si>
    <t>.0929168</t>
  </si>
  <si>
    <t>-.0248851</t>
  </si>
  <si>
    <t>.0977015</t>
  </si>
  <si>
    <t>.0395381</t>
  </si>
  <si>
    <t>.0697639</t>
  </si>
  <si>
    <t>-.0243992</t>
  </si>
  <si>
    <t>.0830515</t>
  </si>
  <si>
    <t>.0380244</t>
  </si>
  <si>
    <t>.1326111</t>
  </si>
  <si>
    <t>-.0659133</t>
  </si>
  <si>
    <t>.0980905</t>
  </si>
  <si>
    <t>.0345106</t>
  </si>
  <si>
    <t>.2294582</t>
  </si>
  <si>
    <t>-.1134274</t>
  </si>
  <si>
    <t>.1061899</t>
  </si>
  <si>
    <t>.0359969</t>
  </si>
  <si>
    <t>.1683054</t>
  </si>
  <si>
    <t>-.1239415</t>
  </si>
  <si>
    <t>.1253043</t>
  </si>
  <si>
    <t>.0314831</t>
  </si>
  <si>
    <t>.1291525</t>
  </si>
  <si>
    <t>-.0884556</t>
  </si>
  <si>
    <t>.2199692</t>
  </si>
  <si>
    <t>-.0200306</t>
  </si>
  <si>
    <t>-.0670004</t>
  </si>
  <si>
    <t>.0120302</t>
  </si>
  <si>
    <t>.1839417</t>
  </si>
  <si>
    <t>-.0455444</t>
  </si>
  <si>
    <t>-.2831532</t>
  </si>
  <si>
    <t>.0765161</t>
  </si>
  <si>
    <t>.2036449</t>
  </si>
  <si>
    <t>-.0600581</t>
  </si>
  <si>
    <t>-.3503061</t>
  </si>
  <si>
    <t>.097002</t>
  </si>
  <si>
    <t>.2296495</t>
  </si>
  <si>
    <t>-.0585718</t>
  </si>
  <si>
    <t>-.3394589</t>
  </si>
  <si>
    <t>.1104879</t>
  </si>
  <si>
    <t>.4002744</t>
  </si>
  <si>
    <t>-.0540856</t>
  </si>
  <si>
    <t>-.2976118</t>
  </si>
  <si>
    <t>.1269738</t>
  </si>
  <si>
    <t>.3232696</t>
  </si>
  <si>
    <t>-.0315993</t>
  </si>
  <si>
    <t>-.2087647</t>
  </si>
  <si>
    <t>.1044597</t>
  </si>
  <si>
    <t>.3167751</t>
  </si>
  <si>
    <t>-.0241131</t>
  </si>
  <si>
    <t>-.1079175</t>
  </si>
  <si>
    <t>.0719456</t>
  </si>
  <si>
    <t>.3693086</t>
  </si>
  <si>
    <t>-.0096268</t>
  </si>
  <si>
    <t>-.0990704</t>
  </si>
  <si>
    <t>.0344315</t>
  </si>
  <si>
    <t>.1607831</t>
  </si>
  <si>
    <t>.0148594</t>
  </si>
  <si>
    <t>.0667768</t>
  </si>
  <si>
    <t>-.0370827</t>
  </si>
  <si>
    <t>.1727834</t>
  </si>
  <si>
    <t>.0193457</t>
  </si>
  <si>
    <t>.1796239</t>
  </si>
  <si>
    <t>-.0565968</t>
  </si>
  <si>
    <t>.1546495</t>
  </si>
  <si>
    <t>.0218319</t>
  </si>
  <si>
    <t>.266471</t>
  </si>
  <si>
    <t>-.0681109</t>
  </si>
  <si>
    <t>.1405583</t>
  </si>
  <si>
    <t>.0213182</t>
  </si>
  <si>
    <t>.3493182</t>
  </si>
  <si>
    <t>-.114625</t>
  </si>
  <si>
    <t>.1426894</t>
  </si>
  <si>
    <t>.0454773</t>
  </si>
  <si>
    <t>.1389091</t>
  </si>
  <si>
    <t>-.0528352</t>
  </si>
  <si>
    <t>.0329392</t>
  </si>
  <si>
    <t>.0739545</t>
  </si>
  <si>
    <t>.196923</t>
  </si>
  <si>
    <t>-.0513297</t>
  </si>
  <si>
    <t>.0650772</t>
  </si>
  <si>
    <t>.0604318</t>
  </si>
  <si>
    <t>.146937</t>
  </si>
  <si>
    <t>-.0428242</t>
  </si>
  <si>
    <t>.0753638</t>
  </si>
  <si>
    <t>.0489091</t>
  </si>
  <si>
    <t>.0909509</t>
  </si>
  <si>
    <t>-.0353187</t>
  </si>
  <si>
    <t>.0732666</t>
  </si>
  <si>
    <t>.0043864</t>
  </si>
  <si>
    <t>-.0290352</t>
  </si>
  <si>
    <t>.0091868</t>
  </si>
  <si>
    <t>.1221424</t>
  </si>
  <si>
    <t>-.0611364</t>
  </si>
  <si>
    <t>-.1930213</t>
  </si>
  <si>
    <t>.0376923</t>
  </si>
  <si>
    <t>.1791476</t>
  </si>
  <si>
    <t>-.0626591</t>
  </si>
  <si>
    <t>-.2320073</t>
  </si>
  <si>
    <t>.0391978</t>
  </si>
  <si>
    <t>.1264696</t>
  </si>
  <si>
    <t>-.0601818</t>
  </si>
  <si>
    <t>-.2059934</t>
  </si>
  <si>
    <t>.0387033</t>
  </si>
  <si>
    <t>.1336616</t>
  </si>
  <si>
    <t>-.0337045</t>
  </si>
  <si>
    <t>-.1279795</t>
  </si>
  <si>
    <t>.0302088</t>
  </si>
  <si>
    <t>.1244276</t>
  </si>
  <si>
    <t>-.0372273</t>
  </si>
  <si>
    <t>-.1029655</t>
  </si>
  <si>
    <t>.0297143</t>
  </si>
  <si>
    <t>.1100187</t>
  </si>
  <si>
    <t>-.03475</t>
  </si>
  <si>
    <t>-.0689516</t>
  </si>
  <si>
    <t>.0272198</t>
  </si>
  <si>
    <t>.1056497</t>
  </si>
  <si>
    <t>-.0262727</t>
  </si>
  <si>
    <t>-.0379377</t>
  </si>
  <si>
    <t>.0257253</t>
  </si>
  <si>
    <t>.0812188</t>
  </si>
  <si>
    <t>-.0267955</t>
  </si>
  <si>
    <t>-.0759238</t>
  </si>
  <si>
    <t>.0202308</t>
  </si>
  <si>
    <t>.0795511</t>
  </si>
  <si>
    <t>.0046818</t>
  </si>
  <si>
    <t>.0340902</t>
  </si>
  <si>
    <t>.0077363</t>
  </si>
  <si>
    <t>.0780464</t>
  </si>
  <si>
    <t>-.0038409</t>
  </si>
  <si>
    <t>.0291041</t>
  </si>
  <si>
    <t>.0052418</t>
  </si>
  <si>
    <t>.0682497</t>
  </si>
  <si>
    <t>.0026364</t>
  </si>
  <si>
    <t>.042118</t>
  </si>
  <si>
    <t>.0007473</t>
  </si>
  <si>
    <t>.0650694</t>
  </si>
  <si>
    <t>.0101136</t>
  </si>
  <si>
    <t>.055132</t>
  </si>
  <si>
    <t>-.0097473</t>
  </si>
  <si>
    <t>.0747165</t>
  </si>
  <si>
    <t>.0075909</t>
  </si>
  <si>
    <t>.0721459</t>
  </si>
  <si>
    <t>-.0102418</t>
  </si>
  <si>
    <t>.0766657</t>
  </si>
  <si>
    <t>.0060682</t>
  </si>
  <si>
    <t>.0821598</t>
  </si>
  <si>
    <t>-.0127363</t>
  </si>
  <si>
    <t>.09229</t>
  </si>
  <si>
    <t>-.0044545</t>
  </si>
  <si>
    <t>.0501738</t>
  </si>
  <si>
    <t>-.0102308</t>
  </si>
  <si>
    <t>.1324372</t>
  </si>
  <si>
    <t>-.0069773</t>
  </si>
  <si>
    <t>.0581877</t>
  </si>
  <si>
    <t>-.0037253</t>
  </si>
  <si>
    <t>.104336</t>
  </si>
  <si>
    <t>.0005</t>
  </si>
  <si>
    <t>.0562016</t>
  </si>
  <si>
    <t>-.0032198</t>
  </si>
  <si>
    <t>.0893981</t>
  </si>
  <si>
    <t>.0069773</t>
  </si>
  <si>
    <t>.0502155</t>
  </si>
  <si>
    <t>-.0007143</t>
  </si>
  <si>
    <t>.096566</t>
  </si>
  <si>
    <t>.0114545</t>
  </si>
  <si>
    <t>.0402295</t>
  </si>
  <si>
    <t>-.0022088</t>
  </si>
  <si>
    <t>.0949475</t>
  </si>
  <si>
    <t>.0279318</t>
  </si>
  <si>
    <t>.0602434</t>
  </si>
  <si>
    <t>-.0017033</t>
  </si>
  <si>
    <t>.0745633</t>
  </si>
  <si>
    <t>.0334091</t>
  </si>
  <si>
    <t>.0802573</t>
  </si>
  <si>
    <t>-.0031978</t>
  </si>
  <si>
    <t>.0801427</t>
  </si>
  <si>
    <t>.0358864</t>
  </si>
  <si>
    <t>.0642713</t>
  </si>
  <si>
    <t>-.0036923</t>
  </si>
  <si>
    <t>.0746488</t>
  </si>
  <si>
    <t>.0223636</t>
  </si>
  <si>
    <t>.0422852</t>
  </si>
  <si>
    <t>-.0061868</t>
  </si>
  <si>
    <t>.0742889</t>
  </si>
  <si>
    <t>.0078409</t>
  </si>
  <si>
    <t>-.0117009</t>
  </si>
  <si>
    <t>-.0086813</t>
  </si>
  <si>
    <t>.0788914</t>
  </si>
  <si>
    <t>-.0036818</t>
  </si>
  <si>
    <t>-.067687</t>
  </si>
  <si>
    <t>-.0051758</t>
  </si>
  <si>
    <t>.0619286</t>
  </si>
  <si>
    <t>-.0182045</t>
  </si>
  <si>
    <t>-.105673</t>
  </si>
  <si>
    <t>-.0016703</t>
  </si>
  <si>
    <t>.0501264</t>
  </si>
  <si>
    <t>-.0307273</t>
  </si>
  <si>
    <t>-.1316591</t>
  </si>
  <si>
    <t>-.0061648</t>
  </si>
  <si>
    <t>.0420449</t>
  </si>
  <si>
    <t>-.0896193</t>
  </si>
  <si>
    <t>-.2577159</t>
  </si>
  <si>
    <t>.0197045</t>
  </si>
  <si>
    <t>-.0665027</t>
  </si>
  <si>
    <t>-.2338209</t>
  </si>
  <si>
    <t>.0225482</t>
  </si>
  <si>
    <t>-.0283862</t>
  </si>
  <si>
    <t>-.102926</t>
  </si>
  <si>
    <t>.0263919</t>
  </si>
  <si>
    <t>.0057304</t>
  </si>
  <si>
    <t>-.054031</t>
  </si>
  <si>
    <t>.0092355</t>
  </si>
  <si>
    <t>.016847</t>
  </si>
  <si>
    <t>.065864</t>
  </si>
  <si>
    <t>-.0059208</t>
  </si>
  <si>
    <t>.0049635</t>
  </si>
  <si>
    <t>.086759</t>
  </si>
  <si>
    <t>-.0090772</t>
  </si>
  <si>
    <t>.0160801</t>
  </si>
  <si>
    <t>.052654</t>
  </si>
  <si>
    <t>-.0102335</t>
  </si>
  <si>
    <t>.0061967</t>
  </si>
  <si>
    <t>.0115489</t>
  </si>
  <si>
    <t>-.0093898</t>
  </si>
  <si>
    <t>-.0006868</t>
  </si>
  <si>
    <t>-.0205561</t>
  </si>
  <si>
    <t>.0054538</t>
  </si>
  <si>
    <t>.0034298</t>
  </si>
  <si>
    <t>-.0096611</t>
  </si>
  <si>
    <t>-.0087025</t>
  </si>
  <si>
    <t>.0125464</t>
  </si>
  <si>
    <t>.0022339</t>
  </si>
  <si>
    <t>-.0128589</t>
  </si>
  <si>
    <t>.0186629</t>
  </si>
  <si>
    <t>.0351289</t>
  </si>
  <si>
    <t>-.0060152</t>
  </si>
  <si>
    <t>.0337795</t>
  </si>
  <si>
    <t>.0790238</t>
  </si>
  <si>
    <t>.0058284</t>
  </si>
  <si>
    <t>.0558961</t>
  </si>
  <si>
    <t>.0939188</t>
  </si>
  <si>
    <t>.0066721</t>
  </si>
  <si>
    <t>.082069</t>
  </si>
  <si>
    <t>.0460126</t>
  </si>
  <si>
    <t>.1328138</t>
  </si>
  <si>
    <t>-.0144842</t>
  </si>
  <si>
    <t>.0683465</t>
  </si>
  <si>
    <t>.0471292</t>
  </si>
  <si>
    <t>.1737088</t>
  </si>
  <si>
    <t>-.0176406</t>
  </si>
  <si>
    <t>.0685564</t>
  </si>
  <si>
    <t>.0282458</t>
  </si>
  <si>
    <t>.1156037</t>
  </si>
  <si>
    <t>-.0347969</t>
  </si>
  <si>
    <t>.0765414</t>
  </si>
  <si>
    <t>.0003624</t>
  </si>
  <si>
    <t>.1234987</t>
  </si>
  <si>
    <t>-.0289533</t>
  </si>
  <si>
    <t>.0777249</t>
  </si>
  <si>
    <t>.0284789</t>
  </si>
  <si>
    <t>.1103937</t>
  </si>
  <si>
    <t>-.0171096</t>
  </si>
  <si>
    <t>.0977106</t>
  </si>
  <si>
    <t>-.0034045</t>
  </si>
  <si>
    <t>.0612887</t>
  </si>
  <si>
    <t>.0037341</t>
  </si>
  <si>
    <t>.1179316</t>
  </si>
  <si>
    <t>-.0032879</t>
  </si>
  <si>
    <t>-.0068163</t>
  </si>
  <si>
    <t>.0105777</t>
  </si>
  <si>
    <t>.0922532</t>
  </si>
  <si>
    <t>-.0161714</t>
  </si>
  <si>
    <t>.0150786</t>
  </si>
  <si>
    <t>.0064214</t>
  </si>
  <si>
    <t>.0857037</t>
  </si>
  <si>
    <t>-.0120548</t>
  </si>
  <si>
    <t>.0379736</t>
  </si>
  <si>
    <t>.007265</t>
  </si>
  <si>
    <t>.0963775</t>
  </si>
  <si>
    <t>.0130618</t>
  </si>
  <si>
    <t>.0428686</t>
  </si>
  <si>
    <t>.0031087</t>
  </si>
  <si>
    <t>.0990941</t>
  </si>
  <si>
    <t>.0191783</t>
  </si>
  <si>
    <t>.0527636</t>
  </si>
  <si>
    <t>.0069523</t>
  </si>
  <si>
    <t>.0802388</t>
  </si>
  <si>
    <t>.0102949</t>
  </si>
  <si>
    <t>.0186585</t>
  </si>
  <si>
    <t>.005796</t>
  </si>
  <si>
    <t>.0940311</t>
  </si>
  <si>
    <t>-.0075885</t>
  </si>
  <si>
    <t>-.0694465</t>
  </si>
  <si>
    <t>.0116397</t>
  </si>
  <si>
    <t>.0923586</t>
  </si>
  <si>
    <t>-.029472</t>
  </si>
  <si>
    <t>-.0885515</t>
  </si>
  <si>
    <t>.0024833</t>
  </si>
  <si>
    <t>.107185</t>
  </si>
  <si>
    <t>-.0333554</t>
  </si>
  <si>
    <t>-.0596565</t>
  </si>
  <si>
    <t>-.007673</t>
  </si>
  <si>
    <t>.1068832</t>
  </si>
  <si>
    <t>-.0262388</t>
  </si>
  <si>
    <t>-.1367615</t>
  </si>
  <si>
    <t>.0081706</t>
  </si>
  <si>
    <t>.0851059</t>
  </si>
  <si>
    <t>-.0231223</t>
  </si>
  <si>
    <t>-.1408666</t>
  </si>
  <si>
    <t>.0090143</t>
  </si>
  <si>
    <t>.0804983</t>
  </si>
  <si>
    <t>-.0270057</t>
  </si>
  <si>
    <t>-.1309716</t>
  </si>
  <si>
    <t>.011858</t>
  </si>
  <si>
    <t>.0643133</t>
  </si>
  <si>
    <t>-.0171761</t>
  </si>
  <si>
    <t>.0666685</t>
  </si>
  <si>
    <t>-.0006668</t>
  </si>
  <si>
    <t>.1556087</t>
  </si>
  <si>
    <t>-.0491574</t>
  </si>
  <si>
    <t>.1844843</t>
  </si>
  <si>
    <t>-.0316481</t>
  </si>
  <si>
    <t>.1634078</t>
  </si>
  <si>
    <t>-.0021387</t>
  </si>
  <si>
    <t>.2087235</t>
  </si>
  <si>
    <t>-.0056294</t>
  </si>
  <si>
    <t>.2326472</t>
  </si>
  <si>
    <t>.0148799</t>
  </si>
  <si>
    <t>.1977365</t>
  </si>
  <si>
    <t>.0093893</t>
  </si>
  <si>
    <t>.1995634</t>
  </si>
  <si>
    <t>-.0061014</t>
  </si>
  <si>
    <t>.1723117</t>
  </si>
  <si>
    <t>-.024592</t>
  </si>
  <si>
    <t>.1538663</t>
  </si>
  <si>
    <t>-.0080827</t>
  </si>
  <si>
    <t>.1318504</t>
  </si>
  <si>
    <t>.0054267</t>
  </si>
  <si>
    <t>.0908027</t>
  </si>
  <si>
    <t>-.011064</t>
  </si>
  <si>
    <t>.0788828</t>
  </si>
  <si>
    <t>.0474454</t>
  </si>
  <si>
    <t>.0903504</t>
  </si>
  <si>
    <t>.0729547</t>
  </si>
  <si>
    <t>.0716296</t>
  </si>
  <si>
    <t>.0624641</t>
  </si>
  <si>
    <t>.0653604</t>
  </si>
  <si>
    <t>.0719734</t>
  </si>
  <si>
    <t>.0776923</t>
  </si>
  <si>
    <t>.0554828</t>
  </si>
  <si>
    <t>.0814715</t>
  </si>
  <si>
    <t>.0109921</t>
  </si>
  <si>
    <t>.1108073</t>
  </si>
  <si>
    <t>.0055015</t>
  </si>
  <si>
    <t>.1810505</t>
  </si>
  <si>
    <t>-.0269892</t>
  </si>
  <si>
    <t>.1535649</t>
  </si>
  <si>
    <t>-.0344798</t>
  </si>
  <si>
    <t>.1362233</t>
  </si>
  <si>
    <t>-.0399705</t>
  </si>
  <si>
    <t>.1248207</t>
  </si>
  <si>
    <t>-.0454611</t>
  </si>
  <si>
    <t>.1278317</t>
  </si>
  <si>
    <t>-.0279518</t>
  </si>
  <si>
    <t>.1180751</t>
  </si>
  <si>
    <t>-.0184424</t>
  </si>
  <si>
    <t>.1286205</t>
  </si>
  <si>
    <t>-.0149331</t>
  </si>
  <si>
    <t>.1230986</t>
  </si>
  <si>
    <t>-.0004238</t>
  </si>
  <si>
    <t>.1198611</t>
  </si>
  <si>
    <t>.0010856</t>
  </si>
  <si>
    <t>.1319249</t>
  </si>
  <si>
    <t>.0005949</t>
  </si>
  <si>
    <t>.1052767</t>
  </si>
  <si>
    <t>.1013518</t>
  </si>
  <si>
    <t>-.0013864</t>
  </si>
  <si>
    <t>.0955874</t>
  </si>
  <si>
    <t>-.0195739</t>
  </si>
  <si>
    <t>-.1401932</t>
  </si>
  <si>
    <t>.0439602</t>
  </si>
  <si>
    <t>-.0202445</t>
  </si>
  <si>
    <t>.0314806</t>
  </si>
  <si>
    <t>.0414144</t>
  </si>
  <si>
    <t>-.0289151</t>
  </si>
  <si>
    <t>-.0878457</t>
  </si>
  <si>
    <t>.0308686</t>
  </si>
  <si>
    <t>-.0005858</t>
  </si>
  <si>
    <t>-.0601719</t>
  </si>
  <si>
    <t>.0433228</t>
  </si>
  <si>
    <t>-.0072564</t>
  </si>
  <si>
    <t>-.0834982</t>
  </si>
  <si>
    <t>.0207769</t>
  </si>
  <si>
    <t>-.0129271</t>
  </si>
  <si>
    <t>-.0908244</t>
  </si>
  <si>
    <t>.0032311</t>
  </si>
  <si>
    <t>-.0055977</t>
  </si>
  <si>
    <t>-.0761507</t>
  </si>
  <si>
    <t>.0126853</t>
  </si>
  <si>
    <t>.0017317</t>
  </si>
  <si>
    <t>-.0244769</t>
  </si>
  <si>
    <t>-.0078605</t>
  </si>
  <si>
    <t>.009061</t>
  </si>
  <si>
    <t>-.0018032</t>
  </si>
  <si>
    <t>-.0084063</t>
  </si>
  <si>
    <t>.0163904</t>
  </si>
  <si>
    <t>.0518706</t>
  </si>
  <si>
    <t>-.0319522</t>
  </si>
  <si>
    <t>.0177198</t>
  </si>
  <si>
    <t>.0485444</t>
  </si>
  <si>
    <t>-.010498</t>
  </si>
  <si>
    <t>.0210491</t>
  </si>
  <si>
    <t>.1122181</t>
  </si>
  <si>
    <t>-.0330438</t>
  </si>
  <si>
    <t>.0293785</t>
  </si>
  <si>
    <t>.1178919</t>
  </si>
  <si>
    <t>-.0235896</t>
  </si>
  <si>
    <t>.0347078</t>
  </si>
  <si>
    <t>.1425656</t>
  </si>
  <si>
    <t>-.0331354</t>
  </si>
  <si>
    <t>.0310372</t>
  </si>
  <si>
    <t>.2002394</t>
  </si>
  <si>
    <t>-.1006813</t>
  </si>
  <si>
    <t>.0343666</t>
  </si>
  <si>
    <t>.1829131</t>
  </si>
  <si>
    <t>-.0632271</t>
  </si>
  <si>
    <t>.0066959</t>
  </si>
  <si>
    <t>.1155869</t>
  </si>
  <si>
    <t>-.0497729</t>
  </si>
  <si>
    <t>-.0109747</t>
  </si>
  <si>
    <t>.0202606</t>
  </si>
  <si>
    <t>-.0083187</t>
  </si>
  <si>
    <t>-.0136453</t>
  </si>
  <si>
    <t>-.0120656</t>
  </si>
  <si>
    <t>-.0338646</t>
  </si>
  <si>
    <t>-.022316</t>
  </si>
  <si>
    <t>-.0673919</t>
  </si>
  <si>
    <t>-.0134104</t>
  </si>
  <si>
    <t>-.0099866</t>
  </si>
  <si>
    <t>-.0227181</t>
  </si>
  <si>
    <t>-.0079562</t>
  </si>
  <si>
    <t>-.0096573</t>
  </si>
  <si>
    <t>-.0150444</t>
  </si>
  <si>
    <t>-.003502</t>
  </si>
  <si>
    <t>-.0113279</t>
  </si>
  <si>
    <t>-.0383706</t>
  </si>
  <si>
    <t>.0259522</t>
  </si>
  <si>
    <t>.0731029</t>
  </si>
  <si>
    <t>-.0069985</t>
  </si>
  <si>
    <t>-.0776968</t>
  </si>
  <si>
    <t>.0324063</t>
  </si>
  <si>
    <t>.0764567</t>
  </si>
  <si>
    <t>-.0046692</t>
  </si>
  <si>
    <t>.0129769</t>
  </si>
  <si>
    <t>.0208605</t>
  </si>
  <si>
    <t>.0696312</t>
  </si>
  <si>
    <t>.0026602</t>
  </si>
  <si>
    <t>-.0103493</t>
  </si>
  <si>
    <t>.0743147</t>
  </si>
  <si>
    <t>.0895504</t>
  </si>
  <si>
    <t>.0039896</t>
  </si>
  <si>
    <t>-.0356756</t>
  </si>
  <si>
    <t>.0717689</t>
  </si>
  <si>
    <t>.0895079</t>
  </si>
  <si>
    <t>-.0066811</t>
  </si>
  <si>
    <t>-.0200018</t>
  </si>
  <si>
    <t>.0482231</t>
  </si>
  <si>
    <t>.0964342</t>
  </si>
  <si>
    <t>-.0103517</t>
  </si>
  <si>
    <t>-.0323281</t>
  </si>
  <si>
    <t>.0466772</t>
  </si>
  <si>
    <t>.1028515</t>
  </si>
  <si>
    <t>-.0020224</t>
  </si>
  <si>
    <t>-.0426543</t>
  </si>
  <si>
    <t>-.0448686</t>
  </si>
  <si>
    <t>.0794562</t>
  </si>
  <si>
    <t>-.001693</t>
  </si>
  <si>
    <t>-.0319806</t>
  </si>
  <si>
    <t>-.0414144</t>
  </si>
  <si>
    <t>.0713313</t>
  </si>
  <si>
    <t>-.0033636</t>
  </si>
  <si>
    <t>-.0653068</t>
  </si>
  <si>
    <t>-.0009602</t>
  </si>
  <si>
    <t>.0640321</t>
  </si>
  <si>
    <t>Data</t>
  </si>
  <si>
    <t>22109 - PIB trimestral - Dados dessazonalizados - Produto Interno Bruto a preços de mercado - Índice</t>
  </si>
  <si>
    <t>1° Trim.1996</t>
  </si>
  <si>
    <t>2° Trim.1996</t>
  </si>
  <si>
    <t>3° Trim.1996</t>
  </si>
  <si>
    <t>4° Trim.1996</t>
  </si>
  <si>
    <t>1° Trim.1997</t>
  </si>
  <si>
    <t>2° Trim.1997</t>
  </si>
  <si>
    <t>3° Trim.1997</t>
  </si>
  <si>
    <t>4° Trim.1997</t>
  </si>
  <si>
    <t>1° Trim.1998</t>
  </si>
  <si>
    <t>2° Trim.1998</t>
  </si>
  <si>
    <t>3° Trim.1998</t>
  </si>
  <si>
    <t>4° Trim.1998</t>
  </si>
  <si>
    <t>1° Trim.1999</t>
  </si>
  <si>
    <t>2° Trim.1999</t>
  </si>
  <si>
    <t>3° Trim.1999</t>
  </si>
  <si>
    <t>4° Trim.1999</t>
  </si>
  <si>
    <t>1° Trim.2000</t>
  </si>
  <si>
    <t>2° Trim.2000</t>
  </si>
  <si>
    <t>3° Trim.2000</t>
  </si>
  <si>
    <t>4° Trim.2000</t>
  </si>
  <si>
    <t>1° Trim.2001</t>
  </si>
  <si>
    <t>2° Trim.2001</t>
  </si>
  <si>
    <t>3° Trim.2001</t>
  </si>
  <si>
    <t>4° Trim.2001</t>
  </si>
  <si>
    <t>1° Trim.2002</t>
  </si>
  <si>
    <t>2° Trim.2002</t>
  </si>
  <si>
    <t>3° Trim.2002</t>
  </si>
  <si>
    <t>4° Trim.2002</t>
  </si>
  <si>
    <t>1° Trim.2003</t>
  </si>
  <si>
    <t>2° Trim.2003</t>
  </si>
  <si>
    <t>3° Trim.2003</t>
  </si>
  <si>
    <t>4° Trim.2003</t>
  </si>
  <si>
    <t>1° Trim.2004</t>
  </si>
  <si>
    <t>2° Trim.2004</t>
  </si>
  <si>
    <t>3° Trim.2004</t>
  </si>
  <si>
    <t>4° Trim.2004</t>
  </si>
  <si>
    <t>1° Trim.2005</t>
  </si>
  <si>
    <t>2° Trim.2005</t>
  </si>
  <si>
    <t>3° Trim.2005</t>
  </si>
  <si>
    <t>4° Trim.2005</t>
  </si>
  <si>
    <t>1° Trim.2006</t>
  </si>
  <si>
    <t>2° Trim.2006</t>
  </si>
  <si>
    <t>3° Trim.2006</t>
  </si>
  <si>
    <t>4° Trim.2006</t>
  </si>
  <si>
    <t>1° Trim.2007</t>
  </si>
  <si>
    <t>2° Trim.2007</t>
  </si>
  <si>
    <t>3° Trim.2007</t>
  </si>
  <si>
    <t>4° Trim.2007</t>
  </si>
  <si>
    <t>1° Trim.2008</t>
  </si>
  <si>
    <t>2° Trim.2008</t>
  </si>
  <si>
    <t>3° Trim.2008</t>
  </si>
  <si>
    <t>4° Trim.2008</t>
  </si>
  <si>
    <t>1° Trim.2009</t>
  </si>
  <si>
    <t>2° Trim.2009</t>
  </si>
  <si>
    <t>3° Trim.2009</t>
  </si>
  <si>
    <t>4° Trim.2009</t>
  </si>
  <si>
    <t>1° Trim.2010</t>
  </si>
  <si>
    <t>2° Trim.2010</t>
  </si>
  <si>
    <t>3° Trim.2010</t>
  </si>
  <si>
    <t>4° Trim.2010</t>
  </si>
  <si>
    <t>1° Trim.2011</t>
  </si>
  <si>
    <t>2° Trim.2011</t>
  </si>
  <si>
    <t>3° Trim.2011</t>
  </si>
  <si>
    <t>4° Trim.2011</t>
  </si>
  <si>
    <t>1° Trim.2012</t>
  </si>
  <si>
    <t>2° Trim.2012</t>
  </si>
  <si>
    <t>3° Trim.2012</t>
  </si>
  <si>
    <t>4° Trim.2012</t>
  </si>
  <si>
    <t>1° Trim.2013</t>
  </si>
  <si>
    <t>2° Trim.2013</t>
  </si>
  <si>
    <t>3° Trim.2013</t>
  </si>
  <si>
    <t>4° Trim.2013</t>
  </si>
  <si>
    <t>1° Trim.2014</t>
  </si>
  <si>
    <t>2° Trim.2014</t>
  </si>
  <si>
    <t>3° Trim.2014</t>
  </si>
  <si>
    <t>4° Trim.2014</t>
  </si>
  <si>
    <t>1° Trim.2015</t>
  </si>
  <si>
    <t>2° Trim.2015</t>
  </si>
  <si>
    <t>3° Trim.2015</t>
  </si>
  <si>
    <t>4° Trim.2015</t>
  </si>
  <si>
    <t>1° Trim.2016</t>
  </si>
  <si>
    <t>2° Trim.2016</t>
  </si>
  <si>
    <t>3° Trim.2016</t>
  </si>
  <si>
    <t>4° Trim.2016</t>
  </si>
  <si>
    <t>1° Trim.2017</t>
  </si>
  <si>
    <t>2° Trim.2017</t>
  </si>
  <si>
    <t>3° Trim.2017</t>
  </si>
  <si>
    <t>4° Trim.2017</t>
  </si>
  <si>
    <t>1° Trim.2018</t>
  </si>
  <si>
    <t>2° Trim.2018</t>
  </si>
  <si>
    <t>3° Trim.2018</t>
  </si>
  <si>
    <t>4° Trim.2018</t>
  </si>
  <si>
    <t>1° Trim.2019</t>
  </si>
  <si>
    <t>2° Trim.2019</t>
  </si>
  <si>
    <t>3° Trim.2019</t>
  </si>
  <si>
    <t>4° Trim.2019</t>
  </si>
  <si>
    <t>1° Trim.2020</t>
  </si>
  <si>
    <t>2° Trim.2020</t>
  </si>
  <si>
    <t>3° Trim.2020</t>
  </si>
  <si>
    <t>4° Trim.2020</t>
  </si>
  <si>
    <t>1° Trim.2021</t>
  </si>
  <si>
    <t>2° Trim.2021</t>
  </si>
  <si>
    <t>3° Trim.2021</t>
  </si>
  <si>
    <t>4° Trim.2021</t>
  </si>
  <si>
    <t>1° Trim.2022</t>
  </si>
  <si>
    <t>2° Trim.2022</t>
  </si>
  <si>
    <t>3° Trim.2022</t>
  </si>
  <si>
    <t>4° Trim.2022</t>
  </si>
  <si>
    <t>1° Trim.2023</t>
  </si>
  <si>
    <t>2° Trim.2023</t>
  </si>
  <si>
    <t>3° Trim.2023</t>
  </si>
  <si>
    <t>4° Trim.2023</t>
  </si>
  <si>
    <t>1° Trim.2024</t>
  </si>
  <si>
    <t>2° Trim.2024</t>
  </si>
  <si>
    <t>3° Trim.2024</t>
  </si>
  <si>
    <t>4° Trim.2024</t>
  </si>
  <si>
    <t>1° Trim.2025</t>
  </si>
  <si>
    <t>2° Trim.2025</t>
  </si>
  <si>
    <t>3° Trim.2025</t>
  </si>
  <si>
    <t>4° Trim.2025</t>
  </si>
  <si>
    <t>1° Trim.2026</t>
  </si>
  <si>
    <t>Fonte</t>
  </si>
  <si>
    <t>IBGE</t>
  </si>
  <si>
    <t>PIB a preços de mercado - Taxa acumulada em 4 trimestres</t>
  </si>
  <si>
    <t>1º trimestre 1996</t>
  </si>
  <si>
    <t>2º trimestre 1996</t>
  </si>
  <si>
    <t>3º trimestre 1996</t>
  </si>
  <si>
    <t>4º trimestre 1996</t>
  </si>
  <si>
    <t>1º trimestre 1997</t>
  </si>
  <si>
    <t>2º trimestre 1997</t>
  </si>
  <si>
    <t>3º trimestre 1997</t>
  </si>
  <si>
    <t>4º trimestre 1997</t>
  </si>
  <si>
    <t>1º trimestre 1998</t>
  </si>
  <si>
    <t>2º trimestre 1998</t>
  </si>
  <si>
    <t>3º trimestre 1998</t>
  </si>
  <si>
    <t>4º trimestre 1998</t>
  </si>
  <si>
    <t>1º trimestre 1999</t>
  </si>
  <si>
    <t>2º trimestre 1999</t>
  </si>
  <si>
    <t>3º trimestre 1999</t>
  </si>
  <si>
    <t>4º trimestre 1999</t>
  </si>
  <si>
    <t>1º trimestre 2000</t>
  </si>
  <si>
    <t>2º trimestre 2000</t>
  </si>
  <si>
    <t>3º trimestre 2000</t>
  </si>
  <si>
    <t>4º trimestre 2000</t>
  </si>
  <si>
    <t>1º trimestre 2001</t>
  </si>
  <si>
    <t>2º trimestre 2001</t>
  </si>
  <si>
    <t>3º trimestre 2001</t>
  </si>
  <si>
    <t>4º trimestre 2001</t>
  </si>
  <si>
    <t>1º trimestre 2002</t>
  </si>
  <si>
    <t>2º trimestre 2002</t>
  </si>
  <si>
    <t>3º trimestre 2002</t>
  </si>
  <si>
    <t>4º trimestre 2002</t>
  </si>
  <si>
    <t>1º trimestre 2003</t>
  </si>
  <si>
    <t>2º trimestre 2003</t>
  </si>
  <si>
    <t>3º trimestre 2003</t>
  </si>
  <si>
    <t>4º trimestre 2003</t>
  </si>
  <si>
    <t>1º trimestre 2004</t>
  </si>
  <si>
    <t>2º trimestre 2004</t>
  </si>
  <si>
    <t>3º trimestre 2004</t>
  </si>
  <si>
    <t>4º trimestre 2004</t>
  </si>
  <si>
    <t>1º trimestre 2005</t>
  </si>
  <si>
    <t>2º trimestre 2005</t>
  </si>
  <si>
    <t>3º trimestre 2005</t>
  </si>
  <si>
    <t>4º trimestre 2005</t>
  </si>
  <si>
    <t>1º trimestre 2006</t>
  </si>
  <si>
    <t>2º trimestre 2006</t>
  </si>
  <si>
    <t>3º trimestre 2006</t>
  </si>
  <si>
    <t>4º trimestre 2006</t>
  </si>
  <si>
    <t>1º trimestre 2007</t>
  </si>
  <si>
    <t>2º trimestre 2007</t>
  </si>
  <si>
    <t>3º trimestre 2007</t>
  </si>
  <si>
    <t>4º trimestre 2007</t>
  </si>
  <si>
    <t>1º trimestre 2008</t>
  </si>
  <si>
    <t>2º trimestre 2008</t>
  </si>
  <si>
    <t>3º trimestre 2008</t>
  </si>
  <si>
    <t>4º trimestre 2008</t>
  </si>
  <si>
    <t>1º trimestre 2009</t>
  </si>
  <si>
    <t>2º trimestre 2009</t>
  </si>
  <si>
    <t>3º trimestre 2009</t>
  </si>
  <si>
    <t>4º trimestre 2009</t>
  </si>
  <si>
    <t>1º trimestre 2010</t>
  </si>
  <si>
    <t>2º trimestre 2010</t>
  </si>
  <si>
    <t>3º trimestre 2010</t>
  </si>
  <si>
    <t>4º trimestre 2010</t>
  </si>
  <si>
    <t>1º trimestre 2011</t>
  </si>
  <si>
    <t>2º trimestre 2011</t>
  </si>
  <si>
    <t>3º trimestre 2011</t>
  </si>
  <si>
    <t>4º trimestre 2011</t>
  </si>
  <si>
    <t>1º trimestre 2012</t>
  </si>
  <si>
    <t>2º trimestre 2012</t>
  </si>
  <si>
    <t>3º trimestre 2012</t>
  </si>
  <si>
    <t>4º trimestre 2012</t>
  </si>
  <si>
    <t>1º trimestre 2013</t>
  </si>
  <si>
    <t>2º trimestre 2013</t>
  </si>
  <si>
    <t>3º trimestre 2013</t>
  </si>
  <si>
    <t>4º trimestre 2013</t>
  </si>
  <si>
    <t>1º trimestre 2014</t>
  </si>
  <si>
    <t>2º trimestre 2014</t>
  </si>
  <si>
    <t>3º trimestre 2014</t>
  </si>
  <si>
    <t>4º trimestre 2014</t>
  </si>
  <si>
    <t>1º trimestre 2015</t>
  </si>
  <si>
    <t>2º trimestre 2015</t>
  </si>
  <si>
    <t>3º trimestre 2015</t>
  </si>
  <si>
    <t>4º trimestre 2015</t>
  </si>
  <si>
    <t>1º trimestre 2016</t>
  </si>
  <si>
    <t>2º trimestre 2016</t>
  </si>
  <si>
    <t>3º trimestre 2016</t>
  </si>
  <si>
    <t>4º trimestre 2016</t>
  </si>
  <si>
    <t>1º trimestre 2017</t>
  </si>
  <si>
    <t>2º trimestre 2017</t>
  </si>
  <si>
    <t>3º trimestre 2017</t>
  </si>
  <si>
    <t>4º trimestre 2017</t>
  </si>
  <si>
    <t>1º trimestre 2018</t>
  </si>
  <si>
    <t>2º trimestre 2018</t>
  </si>
  <si>
    <t>3º trimestre 2018</t>
  </si>
  <si>
    <t>4º trimestre 2018</t>
  </si>
  <si>
    <t>1º trimestre 2019</t>
  </si>
  <si>
    <t>2º trimestre 2019</t>
  </si>
  <si>
    <t>3º trimestre 2019</t>
  </si>
  <si>
    <t>4º trimestre 2019</t>
  </si>
  <si>
    <t>1º trimestre 2020</t>
  </si>
  <si>
    <t>2º trimestre 2020</t>
  </si>
  <si>
    <t>3º trimestre 2020</t>
  </si>
  <si>
    <t>4º trimestre 2020</t>
  </si>
  <si>
    <t>1º trimestre 2021</t>
  </si>
  <si>
    <t>2º trimestre 2021</t>
  </si>
  <si>
    <t>3º trimestre 2021</t>
  </si>
  <si>
    <t>4º trimestre 2021</t>
  </si>
  <si>
    <t>1º trimestre 2022</t>
  </si>
  <si>
    <t>2º trimestre 2022</t>
  </si>
  <si>
    <t>3º trimestre 2022</t>
  </si>
  <si>
    <t>4º trimestre 2022</t>
  </si>
  <si>
    <t>1º trimestre 2023</t>
  </si>
  <si>
    <t>2º trimestre 2023</t>
  </si>
  <si>
    <t>3º trimestre 2023</t>
  </si>
  <si>
    <t>4º trimestre 2023</t>
  </si>
  <si>
    <t>1º trimestre 2024</t>
  </si>
  <si>
    <t>2º trimestre 2024</t>
  </si>
  <si>
    <t>3º trimestre 2024</t>
  </si>
  <si>
    <t>4º trimestre 2024</t>
  </si>
  <si>
    <t>1º trimestre 2025</t>
  </si>
  <si>
    <t>2º trimestre 2025</t>
  </si>
  <si>
    <t>3º trimestre 2025</t>
  </si>
  <si>
    <t>4º trimestre 2025</t>
  </si>
  <si>
    <t>1º trimestre 2026</t>
  </si>
  <si>
    <t>Brasil</t>
  </si>
  <si>
    <t>Fonte: "IBGE - Contas Nacionais Trimestrais"</t>
  </si>
  <si>
    <t>logdysa</t>
  </si>
  <si>
    <t>LINEAR TREND</t>
  </si>
  <si>
    <t>LOG(PIB)</t>
  </si>
  <si>
    <t>logdysa_original</t>
  </si>
  <si>
    <t>22113 - PIB trimestral - Dados dessazonalizados - FBCF - Índice</t>
  </si>
  <si>
    <t>LOG(INV)</t>
  </si>
  <si>
    <t>23084 - Balança comercial e Serviços - trimestral - saldo - US$ (milhões)</t>
  </si>
  <si>
    <t>1° Trim.1995</t>
  </si>
  <si>
    <t>2° Trim.1995</t>
  </si>
  <si>
    <t>3° Trim.1995</t>
  </si>
  <si>
    <t>4° Trim.1995</t>
  </si>
  <si>
    <t>2° Trim.2026</t>
  </si>
  <si>
    <t>BCB-DSTAT</t>
  </si>
  <si>
    <t>4385 - PIB mensal - Em US$ milhões - US$ (milhões)</t>
  </si>
  <si>
    <t>BCB-Depec</t>
  </si>
  <si>
    <t>original</t>
  </si>
  <si>
    <t>seasonally adjusted</t>
  </si>
  <si>
    <t>23087 - Balança comercial - Balanço de Pagamentos - trimestral - saldo - US$ (milhões)</t>
  </si>
  <si>
    <t>Date</t>
  </si>
  <si>
    <t>GS3M</t>
  </si>
  <si>
    <t>GrossTbill_annual</t>
  </si>
  <si>
    <t>YoY_GrossInflation</t>
  </si>
  <si>
    <t>Rus</t>
  </si>
  <si>
    <t>logRus</t>
  </si>
  <si>
    <t>Brazil, BLENDED SNRFOR CR 10Y PAR CDS Spread</t>
  </si>
  <si>
    <t>Brazil, BLENDED SNRFOR CR 5Y PAR CDS Spread</t>
  </si>
  <si>
    <t>10y</t>
  </si>
  <si>
    <t>5y</t>
  </si>
  <si>
    <t>Source</t>
  </si>
  <si>
    <t>Citi</t>
  </si>
  <si>
    <t>The information above, which may contain third party information, is confidential information of Citigroup Global Markets Inc., intended for the exclusive use of Citi Velocity customers, and not for distribution to any third parties for any purpose whatsoever. By accessing and using such information, you agree to (i) use it only for your internal analysis and other similar internal business purposes, (ii) not to transfer or disclose such information to any person, company or other entity, except to colleagues within your employer who have a need to know such information to carry out those internal business purposes, and (iii) destroy such information and any copies or duplicates as soon as your use thereof for those purposes has concluded. Your foregoing agreement is subject to the terms, conditions and exceptions relating to confidentiality contained in the Terms of Use of Citi Velocity, to which you have separately agreed.</t>
  </si>
  <si>
    <t>slope (b)</t>
  </si>
  <si>
    <t>intercept (ln a)</t>
  </si>
  <si>
    <t>a = EXP(ln a)</t>
  </si>
  <si>
    <t>R2</t>
  </si>
  <si>
    <t>Ours_raw (pre-2001 only)</t>
  </si>
  <si>
    <t>Rus_gross_q</t>
  </si>
  <si>
    <t>Spread_%_annual (reconciled)</t>
  </si>
  <si>
    <t>R_gross_q</t>
  </si>
  <si>
    <t>R_hat (ln level)</t>
  </si>
  <si>
    <t>OLS a</t>
  </si>
  <si>
    <t>OLS b</t>
  </si>
  <si>
    <t>R2 (log-log)</t>
  </si>
  <si>
    <t>Pre-2001 (OLS-rescaled)</t>
  </si>
  <si>
    <t>CDS (actual)</t>
  </si>
  <si>
    <t>observation_date</t>
  </si>
  <si>
    <t>NGDPDSAIXUSQ</t>
  </si>
  <si>
    <t>GDP deflator</t>
  </si>
  <si>
    <t>logrus_statadata</t>
  </si>
  <si>
    <t>Rus_hat (irs_update)</t>
  </si>
  <si>
    <t>statadata_Rhat (original paper, 1994-2001)</t>
  </si>
  <si>
    <t>irs_data_Rhat (ln_R level, 1994-2012)</t>
  </si>
  <si>
    <t>R_hat_final (paper formulation)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</si>
</sst>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00"/>
    <numFmt numFmtId="165" formatCode="yyyy\-mm\-dd"/>
    <numFmt numFmtId="166" formatCode="mm/yyyy"/>
    <numFmt numFmtId="167" formatCode="0.000"/>
    <numFmt numFmtId="168" formatCode="0.0000"/>
  </numFmts>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Aptos Narrow"/>
      <family val="2"/>
      <charset val="1"/>
    </font>
    <font>
      <sz val="11"/>
      <name val="Arial"/>
      <charset val="1"/>
    </font>
    <font>
      <sz val="11"/>
      <color theme="1"/>
      <name val="Calibri"/>
      <family val="2"/>
      <charset val="1"/>
    </font>
    <font>
      <b/>
      <sz val="11"/>
      <name val="Arial"/>
      <charset val="1"/>
    </font>
    <font>
      <sz val="10"/>
      <name val="Arial"/>
    </font>
    <font>
      <b/>
      <sz val="11"/>
      <name val="Cambria"/>
      <charset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0" fontId="20" fillId="0" borderId="0"/>
    <xf numFmtId="0" fontId="22" fillId="0" borderId="0"/>
  </cellStyleXfs>
  <cellXfs count="30">
    <xf numFmtId="0" fontId="0" fillId="0" borderId="0" xfId="0"/>
    <xf numFmtId="0" fontId="16" fillId="0" borderId="0" xfId="0" applyFont="1" applyAlignment="1">
      <alignment horizontal="center" vertical="center" wrapText="1"/>
    </xf>
    <xf numFmtId="0" fontId="0" fillId="0" borderId="0" xfId="0" applyAlignment="1">
      <alignment wrapText="1"/>
    </xf>
    <xf numFmtId="0" fontId="0" fillId="33" borderId="0" xfId="0" applyFill="1"/>
    <xf numFmtId="4" fontId="0" fillId="0" borderId="0" xfId="0" applyNumberFormat="1"/>
    <xf numFmtId="17" fontId="0" fillId="0" borderId="0" xfId="0" applyNumberFormat="1"/>
    <xf numFmtId="3" fontId="0" fillId="0" borderId="0" xfId="0" applyNumberFormat="1"/>
    <xf numFmtId="164" fontId="19" fillId="0" borderId="0" xfId="42" applyNumberFormat="1" applyFont="1"/>
    <xf numFmtId="0" fontId="21" fillId="0" borderId="0" xfId="43" applyFont="1"/>
    <xf numFmtId="0" fontId="20" fillId="0" borderId="0" xfId="43"/>
    <xf numFmtId="165" fontId="19" fillId="0" borderId="0" xfId="43" applyNumberFormat="1" applyFont="1"/>
    <xf numFmtId="0" fontId="19" fillId="0" borderId="0" xfId="43" applyFont="1"/>
    <xf numFmtId="164" fontId="19" fillId="0" borderId="0" xfId="43" applyNumberFormat="1" applyFont="1"/>
    <xf numFmtId="0" fontId="22" fillId="0" borderId="0" xfId="44"/>
    <xf numFmtId="166" fontId="22" fillId="0" borderId="0" xfId="44" applyNumberFormat="1"/>
    <xf numFmtId="0" fontId="21" fillId="0" borderId="0" xfId="0" applyFont="1"/>
    <xf numFmtId="164" fontId="19" fillId="0" borderId="0" xfId="0" applyNumberFormat="1" applyFont="1"/>
    <xf numFmtId="167" fontId="19" fillId="0" borderId="0" xfId="0" applyNumberFormat="1" applyFont="1"/>
    <xf numFmtId="164" fontId="0" fillId="0" borderId="0" xfId="0" applyNumberFormat="1"/>
    <xf numFmtId="168" fontId="0" fillId="0" borderId="0" xfId="0" applyNumberFormat="1"/>
    <xf numFmtId="0" fontId="19" fillId="0" borderId="0" xfId="0" applyFont="1"/>
    <xf numFmtId="0" fontId="22" fillId="33" borderId="0" xfId="44" applyFill="1"/>
    <xf numFmtId="0" fontId="23" fillId="0" borderId="0" xfId="43" applyFont="1"/>
    <xf numFmtId="168" fontId="19" fillId="0" borderId="0" xfId="43" applyNumberFormat="1" applyFont="1"/>
    <xf numFmtId="14" fontId="0" fillId="0" borderId="0" xfId="0" applyNumberFormat="1"/>
    <xf numFmtId="0" fontId="21" fillId="33" borderId="0" xfId="43" applyFont="1" applyFill="1"/>
    <xf numFmtId="164" fontId="19" fillId="33" borderId="0" xfId="43" applyNumberFormat="1" applyFont="1" applyFill="1"/>
    <xf numFmtId="0" fontId="20" fillId="33" borderId="0" xfId="43" applyFill="1"/>
    <xf numFmtId="164" fontId="19" fillId="33" borderId="0" xfId="42" applyNumberFormat="1" applyFont="1" applyFill="1"/>
    <xf numFmtId="0" fontId="16" fillId="0" borderId="0" xfId="0" applyFont="1" applyAlignment="1">
      <alignment horizontal="center" vertical="center" wrapText="1"/>
    </xf>
  </cellXfs>
  <cellStyles count="45">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rmal 2" xfId="42" xr:uid="{263FF058-0694-43DF-BB3C-F11E49D0FBB5}"/>
    <cellStyle name="Normal 3" xfId="43" xr:uid="{C8848307-0083-41A3-875B-5C66190E50EE}"/>
    <cellStyle name="Normal 4" xfId="44" xr:uid="{210015D7-4BCB-4C5C-BA6A-2F2F20C1DC9E}"/>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tx>
            <c:strRef>
              <c:f>Spread!$G$5</c:f>
              <c:strCache>
                <c:ptCount val="1"/>
                <c:pt idx="0">
                  <c:v>10y</c:v>
                </c:pt>
              </c:strCache>
            </c:strRef>
          </c:tx>
          <c:spPr>
            <a:ln w="28575" cap="rnd">
              <a:solidFill>
                <a:schemeClr val="accent1"/>
              </a:solidFill>
              <a:round/>
            </a:ln>
            <a:effectLst/>
          </c:spPr>
          <c:marker>
            <c:symbol val="none"/>
          </c:marker>
          <c:cat>
            <c:numRef>
              <c:f>Spread!$F$6:$F$107</c:f>
              <c:numCache>
                <c:formatCode>mm/yyyy</c:formatCode>
                <c:ptCount val="102"/>
                <c:pt idx="0">
                  <c:v>36892</c:v>
                </c:pt>
                <c:pt idx="1">
                  <c:v>36982</c:v>
                </c:pt>
                <c:pt idx="2">
                  <c:v>37073</c:v>
                </c:pt>
                <c:pt idx="3">
                  <c:v>37165</c:v>
                </c:pt>
                <c:pt idx="4">
                  <c:v>37257</c:v>
                </c:pt>
                <c:pt idx="5">
                  <c:v>37347</c:v>
                </c:pt>
                <c:pt idx="6">
                  <c:v>37438</c:v>
                </c:pt>
                <c:pt idx="7">
                  <c:v>37530</c:v>
                </c:pt>
                <c:pt idx="8">
                  <c:v>37622</c:v>
                </c:pt>
                <c:pt idx="9">
                  <c:v>37712</c:v>
                </c:pt>
                <c:pt idx="10">
                  <c:v>37803</c:v>
                </c:pt>
                <c:pt idx="11">
                  <c:v>37895</c:v>
                </c:pt>
                <c:pt idx="12">
                  <c:v>37987</c:v>
                </c:pt>
                <c:pt idx="13">
                  <c:v>38078</c:v>
                </c:pt>
                <c:pt idx="14">
                  <c:v>38169</c:v>
                </c:pt>
                <c:pt idx="15">
                  <c:v>38261</c:v>
                </c:pt>
                <c:pt idx="16">
                  <c:v>38353</c:v>
                </c:pt>
                <c:pt idx="17">
                  <c:v>38443</c:v>
                </c:pt>
                <c:pt idx="18">
                  <c:v>38534</c:v>
                </c:pt>
                <c:pt idx="19">
                  <c:v>38626</c:v>
                </c:pt>
                <c:pt idx="20">
                  <c:v>38718</c:v>
                </c:pt>
                <c:pt idx="21">
                  <c:v>38808</c:v>
                </c:pt>
                <c:pt idx="22">
                  <c:v>38899</c:v>
                </c:pt>
                <c:pt idx="23">
                  <c:v>38991</c:v>
                </c:pt>
                <c:pt idx="24">
                  <c:v>39083</c:v>
                </c:pt>
                <c:pt idx="25">
                  <c:v>39173</c:v>
                </c:pt>
                <c:pt idx="26">
                  <c:v>39264</c:v>
                </c:pt>
                <c:pt idx="27">
                  <c:v>39356</c:v>
                </c:pt>
                <c:pt idx="28">
                  <c:v>39448</c:v>
                </c:pt>
                <c:pt idx="29">
                  <c:v>39539</c:v>
                </c:pt>
                <c:pt idx="30">
                  <c:v>39630</c:v>
                </c:pt>
                <c:pt idx="31">
                  <c:v>39722</c:v>
                </c:pt>
                <c:pt idx="32">
                  <c:v>39814</c:v>
                </c:pt>
                <c:pt idx="33">
                  <c:v>39904</c:v>
                </c:pt>
                <c:pt idx="34">
                  <c:v>39995</c:v>
                </c:pt>
                <c:pt idx="35">
                  <c:v>40087</c:v>
                </c:pt>
                <c:pt idx="36">
                  <c:v>40179</c:v>
                </c:pt>
                <c:pt idx="37">
                  <c:v>40269</c:v>
                </c:pt>
                <c:pt idx="38">
                  <c:v>40360</c:v>
                </c:pt>
                <c:pt idx="39">
                  <c:v>40452</c:v>
                </c:pt>
                <c:pt idx="40">
                  <c:v>40544</c:v>
                </c:pt>
                <c:pt idx="41">
                  <c:v>40634</c:v>
                </c:pt>
                <c:pt idx="42">
                  <c:v>40725</c:v>
                </c:pt>
                <c:pt idx="43">
                  <c:v>40817</c:v>
                </c:pt>
                <c:pt idx="44">
                  <c:v>40909</c:v>
                </c:pt>
                <c:pt idx="45">
                  <c:v>41000</c:v>
                </c:pt>
                <c:pt idx="46">
                  <c:v>41091</c:v>
                </c:pt>
                <c:pt idx="47">
                  <c:v>41183</c:v>
                </c:pt>
                <c:pt idx="48">
                  <c:v>41275</c:v>
                </c:pt>
                <c:pt idx="49">
                  <c:v>41365</c:v>
                </c:pt>
                <c:pt idx="50">
                  <c:v>41456</c:v>
                </c:pt>
                <c:pt idx="51">
                  <c:v>41548</c:v>
                </c:pt>
                <c:pt idx="52">
                  <c:v>41640</c:v>
                </c:pt>
                <c:pt idx="53">
                  <c:v>41730</c:v>
                </c:pt>
                <c:pt idx="54">
                  <c:v>41821</c:v>
                </c:pt>
                <c:pt idx="55">
                  <c:v>41913</c:v>
                </c:pt>
                <c:pt idx="56">
                  <c:v>42005</c:v>
                </c:pt>
                <c:pt idx="57">
                  <c:v>42095</c:v>
                </c:pt>
                <c:pt idx="58">
                  <c:v>42186</c:v>
                </c:pt>
                <c:pt idx="59">
                  <c:v>42278</c:v>
                </c:pt>
                <c:pt idx="60">
                  <c:v>42370</c:v>
                </c:pt>
                <c:pt idx="61">
                  <c:v>42461</c:v>
                </c:pt>
                <c:pt idx="62">
                  <c:v>42552</c:v>
                </c:pt>
                <c:pt idx="63">
                  <c:v>42644</c:v>
                </c:pt>
                <c:pt idx="64">
                  <c:v>42736</c:v>
                </c:pt>
                <c:pt idx="65">
                  <c:v>42826</c:v>
                </c:pt>
                <c:pt idx="66">
                  <c:v>42917</c:v>
                </c:pt>
                <c:pt idx="67">
                  <c:v>43009</c:v>
                </c:pt>
                <c:pt idx="68">
                  <c:v>43101</c:v>
                </c:pt>
                <c:pt idx="69">
                  <c:v>43191</c:v>
                </c:pt>
                <c:pt idx="70">
                  <c:v>43282</c:v>
                </c:pt>
                <c:pt idx="71">
                  <c:v>43374</c:v>
                </c:pt>
                <c:pt idx="72">
                  <c:v>43466</c:v>
                </c:pt>
                <c:pt idx="73">
                  <c:v>43556</c:v>
                </c:pt>
                <c:pt idx="74">
                  <c:v>43647</c:v>
                </c:pt>
                <c:pt idx="75">
                  <c:v>43739</c:v>
                </c:pt>
                <c:pt idx="76">
                  <c:v>43831</c:v>
                </c:pt>
                <c:pt idx="77">
                  <c:v>43922</c:v>
                </c:pt>
                <c:pt idx="78">
                  <c:v>44013</c:v>
                </c:pt>
                <c:pt idx="79">
                  <c:v>44105</c:v>
                </c:pt>
                <c:pt idx="80">
                  <c:v>44197</c:v>
                </c:pt>
                <c:pt idx="81">
                  <c:v>44287</c:v>
                </c:pt>
                <c:pt idx="82">
                  <c:v>44378</c:v>
                </c:pt>
                <c:pt idx="83">
                  <c:v>44470</c:v>
                </c:pt>
                <c:pt idx="84">
                  <c:v>44562</c:v>
                </c:pt>
                <c:pt idx="85">
                  <c:v>44652</c:v>
                </c:pt>
                <c:pt idx="86">
                  <c:v>44743</c:v>
                </c:pt>
                <c:pt idx="87">
                  <c:v>44835</c:v>
                </c:pt>
                <c:pt idx="88">
                  <c:v>44927</c:v>
                </c:pt>
                <c:pt idx="89">
                  <c:v>45017</c:v>
                </c:pt>
                <c:pt idx="90">
                  <c:v>45108</c:v>
                </c:pt>
                <c:pt idx="91">
                  <c:v>45200</c:v>
                </c:pt>
                <c:pt idx="92">
                  <c:v>45292</c:v>
                </c:pt>
                <c:pt idx="93">
                  <c:v>45383</c:v>
                </c:pt>
                <c:pt idx="94">
                  <c:v>45474</c:v>
                </c:pt>
                <c:pt idx="95">
                  <c:v>45566</c:v>
                </c:pt>
                <c:pt idx="96">
                  <c:v>45658</c:v>
                </c:pt>
                <c:pt idx="97">
                  <c:v>45748</c:v>
                </c:pt>
                <c:pt idx="98">
                  <c:v>45839</c:v>
                </c:pt>
                <c:pt idx="99">
                  <c:v>45931</c:v>
                </c:pt>
                <c:pt idx="100">
                  <c:v>46023</c:v>
                </c:pt>
                <c:pt idx="101">
                  <c:v>46113</c:v>
                </c:pt>
              </c:numCache>
            </c:numRef>
          </c:cat>
          <c:val>
            <c:numRef>
              <c:f>Spread!$G$6:$G$107</c:f>
              <c:numCache>
                <c:formatCode>General</c:formatCode>
                <c:ptCount val="102"/>
                <c:pt idx="0">
                  <c:v>710</c:v>
                </c:pt>
                <c:pt idx="1">
                  <c:v>844.375</c:v>
                </c:pt>
                <c:pt idx="2">
                  <c:v>1225.6300000000001</c:v>
                </c:pt>
                <c:pt idx="3">
                  <c:v>893.75</c:v>
                </c:pt>
                <c:pt idx="4">
                  <c:v>768.35699999999997</c:v>
                </c:pt>
                <c:pt idx="5">
                  <c:v>1977.5</c:v>
                </c:pt>
                <c:pt idx="6">
                  <c:v>3458.21</c:v>
                </c:pt>
                <c:pt idx="7">
                  <c:v>1880.75</c:v>
                </c:pt>
                <c:pt idx="8">
                  <c:v>1346.19</c:v>
                </c:pt>
                <c:pt idx="9">
                  <c:v>930.08299999999997</c:v>
                </c:pt>
                <c:pt idx="10">
                  <c:v>802.94399999999996</c:v>
                </c:pt>
                <c:pt idx="11">
                  <c:v>464.57499999999999</c:v>
                </c:pt>
                <c:pt idx="12">
                  <c:v>633.96400000000006</c:v>
                </c:pt>
                <c:pt idx="13">
                  <c:v>763.28599999999994</c:v>
                </c:pt>
                <c:pt idx="14">
                  <c:v>505.18299999999999</c:v>
                </c:pt>
                <c:pt idx="15">
                  <c:v>376.00900000000001</c:v>
                </c:pt>
                <c:pt idx="16">
                  <c:v>506.23099999999999</c:v>
                </c:pt>
                <c:pt idx="17">
                  <c:v>413.25700000000001</c:v>
                </c:pt>
                <c:pt idx="18">
                  <c:v>333.37599999999998</c:v>
                </c:pt>
                <c:pt idx="19">
                  <c:v>299.32</c:v>
                </c:pt>
                <c:pt idx="20">
                  <c:v>216.672</c:v>
                </c:pt>
                <c:pt idx="21">
                  <c:v>257.42700000000002</c:v>
                </c:pt>
                <c:pt idx="22">
                  <c:v>209.21</c:v>
                </c:pt>
                <c:pt idx="23">
                  <c:v>157.22499999999999</c:v>
                </c:pt>
                <c:pt idx="24">
                  <c:v>133.50800000000001</c:v>
                </c:pt>
                <c:pt idx="25">
                  <c:v>108.06</c:v>
                </c:pt>
                <c:pt idx="26">
                  <c:v>121.27500000000001</c:v>
                </c:pt>
                <c:pt idx="27">
                  <c:v>136.35499999999999</c:v>
                </c:pt>
                <c:pt idx="28">
                  <c:v>222.583</c:v>
                </c:pt>
                <c:pt idx="29">
                  <c:v>154.44</c:v>
                </c:pt>
                <c:pt idx="30">
                  <c:v>223.42400000000001</c:v>
                </c:pt>
                <c:pt idx="31">
                  <c:v>325.786</c:v>
                </c:pt>
                <c:pt idx="32">
                  <c:v>350.05599999999998</c:v>
                </c:pt>
                <c:pt idx="33">
                  <c:v>199.971</c:v>
                </c:pt>
                <c:pt idx="34">
                  <c:v>153.24100000000001</c:v>
                </c:pt>
                <c:pt idx="35">
                  <c:v>145.59100000000001</c:v>
                </c:pt>
                <c:pt idx="36">
                  <c:v>156.10300000000001</c:v>
                </c:pt>
                <c:pt idx="37">
                  <c:v>164.876</c:v>
                </c:pt>
                <c:pt idx="38">
                  <c:v>142.80799999999999</c:v>
                </c:pt>
                <c:pt idx="39">
                  <c:v>143.49700000000001</c:v>
                </c:pt>
                <c:pt idx="40">
                  <c:v>153.66900000000001</c:v>
                </c:pt>
                <c:pt idx="41">
                  <c:v>153.411</c:v>
                </c:pt>
                <c:pt idx="42">
                  <c:v>229.392</c:v>
                </c:pt>
                <c:pt idx="43">
                  <c:v>186.565</c:v>
                </c:pt>
                <c:pt idx="44">
                  <c:v>156.02600000000001</c:v>
                </c:pt>
                <c:pt idx="45">
                  <c:v>192.566</c:v>
                </c:pt>
                <c:pt idx="46">
                  <c:v>150.554</c:v>
                </c:pt>
                <c:pt idx="47">
                  <c:v>146.23699999999999</c:v>
                </c:pt>
                <c:pt idx="48">
                  <c:v>180.60499999999999</c:v>
                </c:pt>
                <c:pt idx="49">
                  <c:v>230.54499999999999</c:v>
                </c:pt>
                <c:pt idx="50">
                  <c:v>222.68799999999999</c:v>
                </c:pt>
                <c:pt idx="51">
                  <c:v>245.857</c:v>
                </c:pt>
                <c:pt idx="52">
                  <c:v>226</c:v>
                </c:pt>
                <c:pt idx="53">
                  <c:v>200.06899999999999</c:v>
                </c:pt>
                <c:pt idx="54">
                  <c:v>237.67500000000001</c:v>
                </c:pt>
                <c:pt idx="55">
                  <c:v>255.035</c:v>
                </c:pt>
                <c:pt idx="56">
                  <c:v>332.41699999999997</c:v>
                </c:pt>
                <c:pt idx="57">
                  <c:v>325</c:v>
                </c:pt>
                <c:pt idx="58">
                  <c:v>505</c:v>
                </c:pt>
                <c:pt idx="59">
                  <c:v>553.85900000000004</c:v>
                </c:pt>
                <c:pt idx="60">
                  <c:v>437.983</c:v>
                </c:pt>
                <c:pt idx="61">
                  <c:v>390</c:v>
                </c:pt>
                <c:pt idx="62">
                  <c:v>346</c:v>
                </c:pt>
                <c:pt idx="63">
                  <c:v>359</c:v>
                </c:pt>
                <c:pt idx="64">
                  <c:v>316</c:v>
                </c:pt>
                <c:pt idx="65">
                  <c:v>345</c:v>
                </c:pt>
                <c:pt idx="66">
                  <c:v>303</c:v>
                </c:pt>
                <c:pt idx="67">
                  <c:v>257</c:v>
                </c:pt>
                <c:pt idx="68">
                  <c:v>261</c:v>
                </c:pt>
                <c:pt idx="69">
                  <c:v>386</c:v>
                </c:pt>
                <c:pt idx="70">
                  <c:v>351</c:v>
                </c:pt>
                <c:pt idx="71">
                  <c:v>272.31400000000002</c:v>
                </c:pt>
                <c:pt idx="72">
                  <c:v>251.70599999999999</c:v>
                </c:pt>
                <c:pt idx="73">
                  <c:v>231.73</c:v>
                </c:pt>
                <c:pt idx="74">
                  <c:v>212.49299999999999</c:v>
                </c:pt>
                <c:pt idx="75">
                  <c:v>175.762</c:v>
                </c:pt>
                <c:pt idx="76">
                  <c:v>341.209</c:v>
                </c:pt>
                <c:pt idx="77">
                  <c:v>312.74900000000002</c:v>
                </c:pt>
                <c:pt idx="78">
                  <c:v>312.56</c:v>
                </c:pt>
                <c:pt idx="79">
                  <c:v>210.55199999999999</c:v>
                </c:pt>
                <c:pt idx="80">
                  <c:v>293.67</c:v>
                </c:pt>
                <c:pt idx="81">
                  <c:v>245.89500000000001</c:v>
                </c:pt>
                <c:pt idx="82">
                  <c:v>287.90699999999998</c:v>
                </c:pt>
                <c:pt idx="83">
                  <c:v>282.76799999999997</c:v>
                </c:pt>
                <c:pt idx="84">
                  <c:v>284.43200000000002</c:v>
                </c:pt>
                <c:pt idx="85">
                  <c:v>373.42200000000003</c:v>
                </c:pt>
                <c:pt idx="86">
                  <c:v>387.12400000000002</c:v>
                </c:pt>
                <c:pt idx="87">
                  <c:v>335.37099999999998</c:v>
                </c:pt>
                <c:pt idx="88">
                  <c:v>314.51600000000002</c:v>
                </c:pt>
                <c:pt idx="89">
                  <c:v>270.04700000000003</c:v>
                </c:pt>
                <c:pt idx="90">
                  <c:v>281.66399999999999</c:v>
                </c:pt>
                <c:pt idx="91">
                  <c:v>228.30600000000001</c:v>
                </c:pt>
                <c:pt idx="92">
                  <c:v>220.905</c:v>
                </c:pt>
                <c:pt idx="93">
                  <c:v>262.142</c:v>
                </c:pt>
                <c:pt idx="94">
                  <c:v>245.809</c:v>
                </c:pt>
                <c:pt idx="95">
                  <c:v>310.255</c:v>
                </c:pt>
                <c:pt idx="96">
                  <c:v>285.23099999999999</c:v>
                </c:pt>
                <c:pt idx="97">
                  <c:v>246.28899999999999</c:v>
                </c:pt>
                <c:pt idx="98">
                  <c:v>227.09899999999999</c:v>
                </c:pt>
                <c:pt idx="99">
                  <c:v>227.02799999999999</c:v>
                </c:pt>
                <c:pt idx="100">
                  <c:v>225.108</c:v>
                </c:pt>
                <c:pt idx="101">
                  <c:v>210.10900000000001</c:v>
                </c:pt>
              </c:numCache>
            </c:numRef>
          </c:val>
          <c:smooth val="0"/>
          <c:extLst>
            <c:ext xmlns:c16="http://schemas.microsoft.com/office/drawing/2014/chart" uri="{C3380CC4-5D6E-409C-BE32-E72D297353CC}">
              <c16:uniqueId val="{00000000-AA57-413F-8690-AB7A56A5F6B6}"/>
            </c:ext>
          </c:extLst>
        </c:ser>
        <c:ser>
          <c:idx val="1"/>
          <c:order val="1"/>
          <c:tx>
            <c:strRef>
              <c:f>Spread!$H$5</c:f>
              <c:strCache>
                <c:ptCount val="1"/>
                <c:pt idx="0">
                  <c:v>5y</c:v>
                </c:pt>
              </c:strCache>
            </c:strRef>
          </c:tx>
          <c:spPr>
            <a:ln w="28575" cap="rnd">
              <a:solidFill>
                <a:schemeClr val="accent2"/>
              </a:solidFill>
              <a:round/>
            </a:ln>
            <a:effectLst/>
          </c:spPr>
          <c:marker>
            <c:symbol val="none"/>
          </c:marker>
          <c:cat>
            <c:numRef>
              <c:f>Spread!$F$6:$F$107</c:f>
              <c:numCache>
                <c:formatCode>mm/yyyy</c:formatCode>
                <c:ptCount val="102"/>
                <c:pt idx="0">
                  <c:v>36892</c:v>
                </c:pt>
                <c:pt idx="1">
                  <c:v>36982</c:v>
                </c:pt>
                <c:pt idx="2">
                  <c:v>37073</c:v>
                </c:pt>
                <c:pt idx="3">
                  <c:v>37165</c:v>
                </c:pt>
                <c:pt idx="4">
                  <c:v>37257</c:v>
                </c:pt>
                <c:pt idx="5">
                  <c:v>37347</c:v>
                </c:pt>
                <c:pt idx="6">
                  <c:v>37438</c:v>
                </c:pt>
                <c:pt idx="7">
                  <c:v>37530</c:v>
                </c:pt>
                <c:pt idx="8">
                  <c:v>37622</c:v>
                </c:pt>
                <c:pt idx="9">
                  <c:v>37712</c:v>
                </c:pt>
                <c:pt idx="10">
                  <c:v>37803</c:v>
                </c:pt>
                <c:pt idx="11">
                  <c:v>37895</c:v>
                </c:pt>
                <c:pt idx="12">
                  <c:v>37987</c:v>
                </c:pt>
                <c:pt idx="13">
                  <c:v>38078</c:v>
                </c:pt>
                <c:pt idx="14">
                  <c:v>38169</c:v>
                </c:pt>
                <c:pt idx="15">
                  <c:v>38261</c:v>
                </c:pt>
                <c:pt idx="16">
                  <c:v>38353</c:v>
                </c:pt>
                <c:pt idx="17">
                  <c:v>38443</c:v>
                </c:pt>
                <c:pt idx="18">
                  <c:v>38534</c:v>
                </c:pt>
                <c:pt idx="19">
                  <c:v>38626</c:v>
                </c:pt>
                <c:pt idx="20">
                  <c:v>38718</c:v>
                </c:pt>
                <c:pt idx="21">
                  <c:v>38808</c:v>
                </c:pt>
                <c:pt idx="22">
                  <c:v>38899</c:v>
                </c:pt>
                <c:pt idx="23">
                  <c:v>38991</c:v>
                </c:pt>
                <c:pt idx="24">
                  <c:v>39083</c:v>
                </c:pt>
                <c:pt idx="25">
                  <c:v>39173</c:v>
                </c:pt>
                <c:pt idx="26">
                  <c:v>39264</c:v>
                </c:pt>
                <c:pt idx="27">
                  <c:v>39356</c:v>
                </c:pt>
                <c:pt idx="28">
                  <c:v>39448</c:v>
                </c:pt>
                <c:pt idx="29">
                  <c:v>39539</c:v>
                </c:pt>
                <c:pt idx="30">
                  <c:v>39630</c:v>
                </c:pt>
                <c:pt idx="31">
                  <c:v>39722</c:v>
                </c:pt>
                <c:pt idx="32">
                  <c:v>39814</c:v>
                </c:pt>
                <c:pt idx="33">
                  <c:v>39904</c:v>
                </c:pt>
                <c:pt idx="34">
                  <c:v>39995</c:v>
                </c:pt>
                <c:pt idx="35">
                  <c:v>40087</c:v>
                </c:pt>
                <c:pt idx="36">
                  <c:v>40179</c:v>
                </c:pt>
                <c:pt idx="37">
                  <c:v>40269</c:v>
                </c:pt>
                <c:pt idx="38">
                  <c:v>40360</c:v>
                </c:pt>
                <c:pt idx="39">
                  <c:v>40452</c:v>
                </c:pt>
                <c:pt idx="40">
                  <c:v>40544</c:v>
                </c:pt>
                <c:pt idx="41">
                  <c:v>40634</c:v>
                </c:pt>
                <c:pt idx="42">
                  <c:v>40725</c:v>
                </c:pt>
                <c:pt idx="43">
                  <c:v>40817</c:v>
                </c:pt>
                <c:pt idx="44">
                  <c:v>40909</c:v>
                </c:pt>
                <c:pt idx="45">
                  <c:v>41000</c:v>
                </c:pt>
                <c:pt idx="46">
                  <c:v>41091</c:v>
                </c:pt>
                <c:pt idx="47">
                  <c:v>41183</c:v>
                </c:pt>
                <c:pt idx="48">
                  <c:v>41275</c:v>
                </c:pt>
                <c:pt idx="49">
                  <c:v>41365</c:v>
                </c:pt>
                <c:pt idx="50">
                  <c:v>41456</c:v>
                </c:pt>
                <c:pt idx="51">
                  <c:v>41548</c:v>
                </c:pt>
                <c:pt idx="52">
                  <c:v>41640</c:v>
                </c:pt>
                <c:pt idx="53">
                  <c:v>41730</c:v>
                </c:pt>
                <c:pt idx="54">
                  <c:v>41821</c:v>
                </c:pt>
                <c:pt idx="55">
                  <c:v>41913</c:v>
                </c:pt>
                <c:pt idx="56">
                  <c:v>42005</c:v>
                </c:pt>
                <c:pt idx="57">
                  <c:v>42095</c:v>
                </c:pt>
                <c:pt idx="58">
                  <c:v>42186</c:v>
                </c:pt>
                <c:pt idx="59">
                  <c:v>42278</c:v>
                </c:pt>
                <c:pt idx="60">
                  <c:v>42370</c:v>
                </c:pt>
                <c:pt idx="61">
                  <c:v>42461</c:v>
                </c:pt>
                <c:pt idx="62">
                  <c:v>42552</c:v>
                </c:pt>
                <c:pt idx="63">
                  <c:v>42644</c:v>
                </c:pt>
                <c:pt idx="64">
                  <c:v>42736</c:v>
                </c:pt>
                <c:pt idx="65">
                  <c:v>42826</c:v>
                </c:pt>
                <c:pt idx="66">
                  <c:v>42917</c:v>
                </c:pt>
                <c:pt idx="67">
                  <c:v>43009</c:v>
                </c:pt>
                <c:pt idx="68">
                  <c:v>43101</c:v>
                </c:pt>
                <c:pt idx="69">
                  <c:v>43191</c:v>
                </c:pt>
                <c:pt idx="70">
                  <c:v>43282</c:v>
                </c:pt>
                <c:pt idx="71">
                  <c:v>43374</c:v>
                </c:pt>
                <c:pt idx="72">
                  <c:v>43466</c:v>
                </c:pt>
                <c:pt idx="73">
                  <c:v>43556</c:v>
                </c:pt>
                <c:pt idx="74">
                  <c:v>43647</c:v>
                </c:pt>
                <c:pt idx="75">
                  <c:v>43739</c:v>
                </c:pt>
                <c:pt idx="76">
                  <c:v>43831</c:v>
                </c:pt>
                <c:pt idx="77">
                  <c:v>43922</c:v>
                </c:pt>
                <c:pt idx="78">
                  <c:v>44013</c:v>
                </c:pt>
                <c:pt idx="79">
                  <c:v>44105</c:v>
                </c:pt>
                <c:pt idx="80">
                  <c:v>44197</c:v>
                </c:pt>
                <c:pt idx="81">
                  <c:v>44287</c:v>
                </c:pt>
                <c:pt idx="82">
                  <c:v>44378</c:v>
                </c:pt>
                <c:pt idx="83">
                  <c:v>44470</c:v>
                </c:pt>
                <c:pt idx="84">
                  <c:v>44562</c:v>
                </c:pt>
                <c:pt idx="85">
                  <c:v>44652</c:v>
                </c:pt>
                <c:pt idx="86">
                  <c:v>44743</c:v>
                </c:pt>
                <c:pt idx="87">
                  <c:v>44835</c:v>
                </c:pt>
                <c:pt idx="88">
                  <c:v>44927</c:v>
                </c:pt>
                <c:pt idx="89">
                  <c:v>45017</c:v>
                </c:pt>
                <c:pt idx="90">
                  <c:v>45108</c:v>
                </c:pt>
                <c:pt idx="91">
                  <c:v>45200</c:v>
                </c:pt>
                <c:pt idx="92">
                  <c:v>45292</c:v>
                </c:pt>
                <c:pt idx="93">
                  <c:v>45383</c:v>
                </c:pt>
                <c:pt idx="94">
                  <c:v>45474</c:v>
                </c:pt>
                <c:pt idx="95">
                  <c:v>45566</c:v>
                </c:pt>
                <c:pt idx="96">
                  <c:v>45658</c:v>
                </c:pt>
                <c:pt idx="97">
                  <c:v>45748</c:v>
                </c:pt>
                <c:pt idx="98">
                  <c:v>45839</c:v>
                </c:pt>
                <c:pt idx="99">
                  <c:v>45931</c:v>
                </c:pt>
                <c:pt idx="100">
                  <c:v>46023</c:v>
                </c:pt>
                <c:pt idx="101">
                  <c:v>46113</c:v>
                </c:pt>
              </c:numCache>
            </c:numRef>
          </c:cat>
          <c:val>
            <c:numRef>
              <c:f>Spread!$H$6:$H$107</c:f>
              <c:numCache>
                <c:formatCode>General</c:formatCode>
                <c:ptCount val="102"/>
                <c:pt idx="0">
                  <c:v>628.125</c:v>
                </c:pt>
                <c:pt idx="1">
                  <c:v>775.58299999999997</c:v>
                </c:pt>
                <c:pt idx="2">
                  <c:v>1176.8800000000001</c:v>
                </c:pt>
                <c:pt idx="3">
                  <c:v>824.58299999999997</c:v>
                </c:pt>
                <c:pt idx="4">
                  <c:v>718</c:v>
                </c:pt>
                <c:pt idx="5">
                  <c:v>2193.75</c:v>
                </c:pt>
                <c:pt idx="6">
                  <c:v>3733.36</c:v>
                </c:pt>
                <c:pt idx="7">
                  <c:v>2147</c:v>
                </c:pt>
                <c:pt idx="8">
                  <c:v>1369.58</c:v>
                </c:pt>
                <c:pt idx="9">
                  <c:v>889.91700000000003</c:v>
                </c:pt>
                <c:pt idx="10">
                  <c:v>763</c:v>
                </c:pt>
                <c:pt idx="11">
                  <c:v>403.84399999999999</c:v>
                </c:pt>
                <c:pt idx="12">
                  <c:v>576.60699999999997</c:v>
                </c:pt>
                <c:pt idx="13">
                  <c:v>710.85299999999995</c:v>
                </c:pt>
                <c:pt idx="14">
                  <c:v>436.10899999999998</c:v>
                </c:pt>
                <c:pt idx="15">
                  <c:v>306.096</c:v>
                </c:pt>
                <c:pt idx="16">
                  <c:v>429.46899999999999</c:v>
                </c:pt>
                <c:pt idx="17">
                  <c:v>322.959</c:v>
                </c:pt>
                <c:pt idx="18">
                  <c:v>247.762</c:v>
                </c:pt>
                <c:pt idx="19">
                  <c:v>223.19300000000001</c:v>
                </c:pt>
                <c:pt idx="20">
                  <c:v>146.982</c:v>
                </c:pt>
                <c:pt idx="21">
                  <c:v>171.42</c:v>
                </c:pt>
                <c:pt idx="22">
                  <c:v>134.203</c:v>
                </c:pt>
                <c:pt idx="23">
                  <c:v>99.765900000000002</c:v>
                </c:pt>
                <c:pt idx="24">
                  <c:v>83.590999999999994</c:v>
                </c:pt>
                <c:pt idx="25">
                  <c:v>74.676400000000001</c:v>
                </c:pt>
                <c:pt idx="26">
                  <c:v>85.3797</c:v>
                </c:pt>
                <c:pt idx="27">
                  <c:v>101.148</c:v>
                </c:pt>
                <c:pt idx="28">
                  <c:v>177.482</c:v>
                </c:pt>
                <c:pt idx="29">
                  <c:v>119.889</c:v>
                </c:pt>
                <c:pt idx="30">
                  <c:v>180.18199999999999</c:v>
                </c:pt>
                <c:pt idx="31">
                  <c:v>303.52</c:v>
                </c:pt>
                <c:pt idx="32">
                  <c:v>325.05200000000002</c:v>
                </c:pt>
                <c:pt idx="33">
                  <c:v>175.10499999999999</c:v>
                </c:pt>
                <c:pt idx="34">
                  <c:v>126.384</c:v>
                </c:pt>
                <c:pt idx="35">
                  <c:v>122.282</c:v>
                </c:pt>
                <c:pt idx="36">
                  <c:v>131.06200000000001</c:v>
                </c:pt>
                <c:pt idx="37">
                  <c:v>139.524</c:v>
                </c:pt>
                <c:pt idx="38">
                  <c:v>116.06699999999999</c:v>
                </c:pt>
                <c:pt idx="39">
                  <c:v>110.824</c:v>
                </c:pt>
                <c:pt idx="40">
                  <c:v>111.042</c:v>
                </c:pt>
                <c:pt idx="41">
                  <c:v>110.36199999999999</c:v>
                </c:pt>
                <c:pt idx="42">
                  <c:v>200.01499999999999</c:v>
                </c:pt>
                <c:pt idx="43">
                  <c:v>159.50899999999999</c:v>
                </c:pt>
                <c:pt idx="44">
                  <c:v>120.601</c:v>
                </c:pt>
                <c:pt idx="45">
                  <c:v>152.625</c:v>
                </c:pt>
                <c:pt idx="46">
                  <c:v>112.32899999999999</c:v>
                </c:pt>
                <c:pt idx="47">
                  <c:v>107.70399999999999</c:v>
                </c:pt>
                <c:pt idx="48">
                  <c:v>137.43</c:v>
                </c:pt>
                <c:pt idx="49">
                  <c:v>186.04</c:v>
                </c:pt>
                <c:pt idx="50">
                  <c:v>177.13200000000001</c:v>
                </c:pt>
                <c:pt idx="51">
                  <c:v>193</c:v>
                </c:pt>
                <c:pt idx="52">
                  <c:v>171</c:v>
                </c:pt>
                <c:pt idx="53">
                  <c:v>143.69499999999999</c:v>
                </c:pt>
                <c:pt idx="54">
                  <c:v>176.197</c:v>
                </c:pt>
                <c:pt idx="55">
                  <c:v>197.547</c:v>
                </c:pt>
                <c:pt idx="56">
                  <c:v>281.64999999999998</c:v>
                </c:pt>
                <c:pt idx="57">
                  <c:v>261</c:v>
                </c:pt>
                <c:pt idx="58">
                  <c:v>477</c:v>
                </c:pt>
                <c:pt idx="59">
                  <c:v>500</c:v>
                </c:pt>
                <c:pt idx="60">
                  <c:v>367</c:v>
                </c:pt>
                <c:pt idx="61">
                  <c:v>315</c:v>
                </c:pt>
                <c:pt idx="62">
                  <c:v>272</c:v>
                </c:pt>
                <c:pt idx="63">
                  <c:v>280.5</c:v>
                </c:pt>
                <c:pt idx="64">
                  <c:v>225</c:v>
                </c:pt>
                <c:pt idx="65">
                  <c:v>241</c:v>
                </c:pt>
                <c:pt idx="66">
                  <c:v>195</c:v>
                </c:pt>
                <c:pt idx="67">
                  <c:v>161</c:v>
                </c:pt>
                <c:pt idx="68">
                  <c:v>163</c:v>
                </c:pt>
                <c:pt idx="69">
                  <c:v>275</c:v>
                </c:pt>
                <c:pt idx="70">
                  <c:v>265</c:v>
                </c:pt>
                <c:pt idx="71">
                  <c:v>203.62</c:v>
                </c:pt>
                <c:pt idx="72">
                  <c:v>174.34200000000001</c:v>
                </c:pt>
                <c:pt idx="73">
                  <c:v>149.03299999999999</c:v>
                </c:pt>
                <c:pt idx="74">
                  <c:v>135.25800000000001</c:v>
                </c:pt>
                <c:pt idx="75">
                  <c:v>99.016099999999994</c:v>
                </c:pt>
                <c:pt idx="76">
                  <c:v>269.75299999999999</c:v>
                </c:pt>
                <c:pt idx="77">
                  <c:v>246.28399999999999</c:v>
                </c:pt>
                <c:pt idx="78">
                  <c:v>244.38300000000001</c:v>
                </c:pt>
                <c:pt idx="79">
                  <c:v>142.21700000000001</c:v>
                </c:pt>
                <c:pt idx="80">
                  <c:v>220.10499999999999</c:v>
                </c:pt>
                <c:pt idx="81">
                  <c:v>163.68600000000001</c:v>
                </c:pt>
                <c:pt idx="82">
                  <c:v>203.571</c:v>
                </c:pt>
                <c:pt idx="83">
                  <c:v>203.554</c:v>
                </c:pt>
                <c:pt idx="84">
                  <c:v>206.13900000000001</c:v>
                </c:pt>
                <c:pt idx="85">
                  <c:v>290.56400000000002</c:v>
                </c:pt>
                <c:pt idx="86">
                  <c:v>304.43299999999999</c:v>
                </c:pt>
                <c:pt idx="87">
                  <c:v>251.50200000000001</c:v>
                </c:pt>
                <c:pt idx="88">
                  <c:v>224.79499999999999</c:v>
                </c:pt>
                <c:pt idx="89">
                  <c:v>174.86099999999999</c:v>
                </c:pt>
                <c:pt idx="90">
                  <c:v>187.16</c:v>
                </c:pt>
                <c:pt idx="91">
                  <c:v>131.49299999999999</c:v>
                </c:pt>
                <c:pt idx="92">
                  <c:v>137.464</c:v>
                </c:pt>
                <c:pt idx="93">
                  <c:v>169.97200000000001</c:v>
                </c:pt>
                <c:pt idx="94">
                  <c:v>154.90899999999999</c:v>
                </c:pt>
                <c:pt idx="95">
                  <c:v>220.339</c:v>
                </c:pt>
                <c:pt idx="96">
                  <c:v>189.59899999999999</c:v>
                </c:pt>
                <c:pt idx="97">
                  <c:v>151.697</c:v>
                </c:pt>
                <c:pt idx="98">
                  <c:v>138.667</c:v>
                </c:pt>
                <c:pt idx="99">
                  <c:v>141.00399999999999</c:v>
                </c:pt>
                <c:pt idx="100">
                  <c:v>141.82400000000001</c:v>
                </c:pt>
                <c:pt idx="101">
                  <c:v>126.828</c:v>
                </c:pt>
              </c:numCache>
            </c:numRef>
          </c:val>
          <c:smooth val="0"/>
          <c:extLst>
            <c:ext xmlns:c16="http://schemas.microsoft.com/office/drawing/2014/chart" uri="{C3380CC4-5D6E-409C-BE32-E72D297353CC}">
              <c16:uniqueId val="{00000001-AA57-413F-8690-AB7A56A5F6B6}"/>
            </c:ext>
          </c:extLst>
        </c:ser>
        <c:dLbls>
          <c:showLegendKey val="0"/>
          <c:showVal val="0"/>
          <c:showCatName val="0"/>
          <c:showSerName val="0"/>
          <c:showPercent val="0"/>
          <c:showBubbleSize val="0"/>
        </c:dLbls>
        <c:marker val="1"/>
        <c:smooth val="0"/>
        <c:axId val="414279471"/>
        <c:axId val="949326160"/>
      </c:lineChart>
      <c:lineChart>
        <c:grouping val="standard"/>
        <c:varyColors val="0"/>
        <c:ser>
          <c:idx val="2"/>
          <c:order val="2"/>
          <c:tx>
            <c:strRef>
              <c:f>Spread!$M$5</c:f>
              <c:strCache>
                <c:ptCount val="1"/>
              </c:strCache>
            </c:strRef>
          </c:tx>
          <c:spPr>
            <a:ln w="28575" cap="rnd">
              <a:solidFill>
                <a:schemeClr val="accent3"/>
              </a:solidFill>
              <a:round/>
            </a:ln>
            <a:effectLst/>
          </c:spPr>
          <c:marker>
            <c:symbol val="none"/>
          </c:marker>
          <c:cat>
            <c:numRef>
              <c:f>Spread!$F$6:$F$107</c:f>
              <c:numCache>
                <c:formatCode>mm/yyyy</c:formatCode>
                <c:ptCount val="102"/>
                <c:pt idx="0">
                  <c:v>36892</c:v>
                </c:pt>
                <c:pt idx="1">
                  <c:v>36982</c:v>
                </c:pt>
                <c:pt idx="2">
                  <c:v>37073</c:v>
                </c:pt>
                <c:pt idx="3">
                  <c:v>37165</c:v>
                </c:pt>
                <c:pt idx="4">
                  <c:v>37257</c:v>
                </c:pt>
                <c:pt idx="5">
                  <c:v>37347</c:v>
                </c:pt>
                <c:pt idx="6">
                  <c:v>37438</c:v>
                </c:pt>
                <c:pt idx="7">
                  <c:v>37530</c:v>
                </c:pt>
                <c:pt idx="8">
                  <c:v>37622</c:v>
                </c:pt>
                <c:pt idx="9">
                  <c:v>37712</c:v>
                </c:pt>
                <c:pt idx="10">
                  <c:v>37803</c:v>
                </c:pt>
                <c:pt idx="11">
                  <c:v>37895</c:v>
                </c:pt>
                <c:pt idx="12">
                  <c:v>37987</c:v>
                </c:pt>
                <c:pt idx="13">
                  <c:v>38078</c:v>
                </c:pt>
                <c:pt idx="14">
                  <c:v>38169</c:v>
                </c:pt>
                <c:pt idx="15">
                  <c:v>38261</c:v>
                </c:pt>
                <c:pt idx="16">
                  <c:v>38353</c:v>
                </c:pt>
                <c:pt idx="17">
                  <c:v>38443</c:v>
                </c:pt>
                <c:pt idx="18">
                  <c:v>38534</c:v>
                </c:pt>
                <c:pt idx="19">
                  <c:v>38626</c:v>
                </c:pt>
                <c:pt idx="20">
                  <c:v>38718</c:v>
                </c:pt>
                <c:pt idx="21">
                  <c:v>38808</c:v>
                </c:pt>
                <c:pt idx="22">
                  <c:v>38899</c:v>
                </c:pt>
                <c:pt idx="23">
                  <c:v>38991</c:v>
                </c:pt>
                <c:pt idx="24">
                  <c:v>39083</c:v>
                </c:pt>
                <c:pt idx="25">
                  <c:v>39173</c:v>
                </c:pt>
                <c:pt idx="26">
                  <c:v>39264</c:v>
                </c:pt>
                <c:pt idx="27">
                  <c:v>39356</c:v>
                </c:pt>
                <c:pt idx="28">
                  <c:v>39448</c:v>
                </c:pt>
                <c:pt idx="29">
                  <c:v>39539</c:v>
                </c:pt>
                <c:pt idx="30">
                  <c:v>39630</c:v>
                </c:pt>
                <c:pt idx="31">
                  <c:v>39722</c:v>
                </c:pt>
                <c:pt idx="32">
                  <c:v>39814</c:v>
                </c:pt>
                <c:pt idx="33">
                  <c:v>39904</c:v>
                </c:pt>
                <c:pt idx="34">
                  <c:v>39995</c:v>
                </c:pt>
                <c:pt idx="35">
                  <c:v>40087</c:v>
                </c:pt>
                <c:pt idx="36">
                  <c:v>40179</c:v>
                </c:pt>
                <c:pt idx="37">
                  <c:v>40269</c:v>
                </c:pt>
                <c:pt idx="38">
                  <c:v>40360</c:v>
                </c:pt>
                <c:pt idx="39">
                  <c:v>40452</c:v>
                </c:pt>
                <c:pt idx="40">
                  <c:v>40544</c:v>
                </c:pt>
                <c:pt idx="41">
                  <c:v>40634</c:v>
                </c:pt>
                <c:pt idx="42">
                  <c:v>40725</c:v>
                </c:pt>
                <c:pt idx="43">
                  <c:v>40817</c:v>
                </c:pt>
                <c:pt idx="44">
                  <c:v>40909</c:v>
                </c:pt>
                <c:pt idx="45">
                  <c:v>41000</c:v>
                </c:pt>
                <c:pt idx="46">
                  <c:v>41091</c:v>
                </c:pt>
                <c:pt idx="47">
                  <c:v>41183</c:v>
                </c:pt>
                <c:pt idx="48">
                  <c:v>41275</c:v>
                </c:pt>
                <c:pt idx="49">
                  <c:v>41365</c:v>
                </c:pt>
                <c:pt idx="50">
                  <c:v>41456</c:v>
                </c:pt>
                <c:pt idx="51">
                  <c:v>41548</c:v>
                </c:pt>
                <c:pt idx="52">
                  <c:v>41640</c:v>
                </c:pt>
                <c:pt idx="53">
                  <c:v>41730</c:v>
                </c:pt>
                <c:pt idx="54">
                  <c:v>41821</c:v>
                </c:pt>
                <c:pt idx="55">
                  <c:v>41913</c:v>
                </c:pt>
                <c:pt idx="56">
                  <c:v>42005</c:v>
                </c:pt>
                <c:pt idx="57">
                  <c:v>42095</c:v>
                </c:pt>
                <c:pt idx="58">
                  <c:v>42186</c:v>
                </c:pt>
                <c:pt idx="59">
                  <c:v>42278</c:v>
                </c:pt>
                <c:pt idx="60">
                  <c:v>42370</c:v>
                </c:pt>
                <c:pt idx="61">
                  <c:v>42461</c:v>
                </c:pt>
                <c:pt idx="62">
                  <c:v>42552</c:v>
                </c:pt>
                <c:pt idx="63">
                  <c:v>42644</c:v>
                </c:pt>
                <c:pt idx="64">
                  <c:v>42736</c:v>
                </c:pt>
                <c:pt idx="65">
                  <c:v>42826</c:v>
                </c:pt>
                <c:pt idx="66">
                  <c:v>42917</c:v>
                </c:pt>
                <c:pt idx="67">
                  <c:v>43009</c:v>
                </c:pt>
                <c:pt idx="68">
                  <c:v>43101</c:v>
                </c:pt>
                <c:pt idx="69">
                  <c:v>43191</c:v>
                </c:pt>
                <c:pt idx="70">
                  <c:v>43282</c:v>
                </c:pt>
                <c:pt idx="71">
                  <c:v>43374</c:v>
                </c:pt>
                <c:pt idx="72">
                  <c:v>43466</c:v>
                </c:pt>
                <c:pt idx="73">
                  <c:v>43556</c:v>
                </c:pt>
                <c:pt idx="74">
                  <c:v>43647</c:v>
                </c:pt>
                <c:pt idx="75">
                  <c:v>43739</c:v>
                </c:pt>
                <c:pt idx="76">
                  <c:v>43831</c:v>
                </c:pt>
                <c:pt idx="77">
                  <c:v>43922</c:v>
                </c:pt>
                <c:pt idx="78">
                  <c:v>44013</c:v>
                </c:pt>
                <c:pt idx="79">
                  <c:v>44105</c:v>
                </c:pt>
                <c:pt idx="80">
                  <c:v>44197</c:v>
                </c:pt>
                <c:pt idx="81">
                  <c:v>44287</c:v>
                </c:pt>
                <c:pt idx="82">
                  <c:v>44378</c:v>
                </c:pt>
                <c:pt idx="83">
                  <c:v>44470</c:v>
                </c:pt>
                <c:pt idx="84">
                  <c:v>44562</c:v>
                </c:pt>
                <c:pt idx="85">
                  <c:v>44652</c:v>
                </c:pt>
                <c:pt idx="86">
                  <c:v>44743</c:v>
                </c:pt>
                <c:pt idx="87">
                  <c:v>44835</c:v>
                </c:pt>
                <c:pt idx="88">
                  <c:v>44927</c:v>
                </c:pt>
                <c:pt idx="89">
                  <c:v>45017</c:v>
                </c:pt>
                <c:pt idx="90">
                  <c:v>45108</c:v>
                </c:pt>
                <c:pt idx="91">
                  <c:v>45200</c:v>
                </c:pt>
                <c:pt idx="92">
                  <c:v>45292</c:v>
                </c:pt>
                <c:pt idx="93">
                  <c:v>45383</c:v>
                </c:pt>
                <c:pt idx="94">
                  <c:v>45474</c:v>
                </c:pt>
                <c:pt idx="95">
                  <c:v>45566</c:v>
                </c:pt>
                <c:pt idx="96">
                  <c:v>45658</c:v>
                </c:pt>
                <c:pt idx="97">
                  <c:v>45748</c:v>
                </c:pt>
                <c:pt idx="98">
                  <c:v>45839</c:v>
                </c:pt>
                <c:pt idx="99">
                  <c:v>45931</c:v>
                </c:pt>
                <c:pt idx="100">
                  <c:v>46023</c:v>
                </c:pt>
                <c:pt idx="101">
                  <c:v>46113</c:v>
                </c:pt>
              </c:numCache>
            </c:numRef>
          </c:cat>
          <c:val>
            <c:numRef>
              <c:f>Spread!$M$6:$M$107</c:f>
              <c:numCache>
                <c:formatCode>0.000</c:formatCode>
                <c:ptCount val="102"/>
              </c:numCache>
            </c:numRef>
          </c:val>
          <c:smooth val="0"/>
          <c:extLst>
            <c:ext xmlns:c16="http://schemas.microsoft.com/office/drawing/2014/chart" uri="{C3380CC4-5D6E-409C-BE32-E72D297353CC}">
              <c16:uniqueId val="{00000002-AA57-413F-8690-AB7A56A5F6B6}"/>
            </c:ext>
          </c:extLst>
        </c:ser>
        <c:dLbls>
          <c:showLegendKey val="0"/>
          <c:showVal val="0"/>
          <c:showCatName val="0"/>
          <c:showSerName val="0"/>
          <c:showPercent val="0"/>
          <c:showBubbleSize val="0"/>
        </c:dLbls>
        <c:marker val="1"/>
        <c:smooth val="0"/>
        <c:axId val="1252139583"/>
        <c:axId val="1788354768"/>
      </c:lineChart>
      <c:dateAx>
        <c:axId val="414279471"/>
        <c:scaling>
          <c:orientation val="minMax"/>
          <c:max val="46113"/>
        </c:scaling>
        <c:delete val="0"/>
        <c:axPos val="b"/>
        <c:numFmt formatCode="m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949326160"/>
        <c:crosses val="autoZero"/>
        <c:auto val="1"/>
        <c:lblOffset val="100"/>
        <c:baseTimeUnit val="months"/>
      </c:dateAx>
      <c:valAx>
        <c:axId val="949326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14279471"/>
        <c:crosses val="autoZero"/>
        <c:crossBetween val="between"/>
      </c:valAx>
      <c:valAx>
        <c:axId val="1788354768"/>
        <c:scaling>
          <c:orientation val="minMax"/>
          <c:min val="0"/>
        </c:scaling>
        <c:delete val="0"/>
        <c:axPos val="r"/>
        <c:numFmt formatCode="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252139583"/>
        <c:crosses val="max"/>
        <c:crossBetween val="between"/>
      </c:valAx>
      <c:dateAx>
        <c:axId val="1252139583"/>
        <c:scaling>
          <c:orientation val="minMax"/>
        </c:scaling>
        <c:delete val="1"/>
        <c:axPos val="b"/>
        <c:numFmt formatCode="mm/yyyy" sourceLinked="1"/>
        <c:majorTickMark val="out"/>
        <c:minorTickMark val="none"/>
        <c:tickLblPos val="nextTo"/>
        <c:crossAx val="1788354768"/>
        <c:crosses val="autoZero"/>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logi</a:t>
            </a:r>
          </a:p>
          <a:p>
            <a:pPr>
              <a:defRPr/>
            </a:pP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tx>
            <c:v>irs_update</c:v>
          </c:tx>
          <c:spPr>
            <a:ln w="28575" cap="rnd">
              <a:solidFill>
                <a:schemeClr val="accent1"/>
              </a:solidFill>
              <a:round/>
            </a:ln>
            <a:effectLst/>
          </c:spPr>
          <c:marker>
            <c:symbol val="none"/>
          </c:marker>
          <c:val>
            <c:numRef>
              <c:f>Brazil_interest!$I$3:$I$130</c:f>
              <c:numCache>
                <c:formatCode>0.000000</c:formatCode>
                <c:ptCount val="128"/>
                <c:pt idx="0">
                  <c:v>0.118919721779917</c:v>
                </c:pt>
                <c:pt idx="1">
                  <c:v>0.117438110066411</c:v>
                </c:pt>
                <c:pt idx="2">
                  <c:v>0.157899813521692</c:v>
                </c:pt>
                <c:pt idx="3">
                  <c:v>0.14904511730964401</c:v>
                </c:pt>
                <c:pt idx="4">
                  <c:v>0.13639870521564901</c:v>
                </c:pt>
                <c:pt idx="5">
                  <c:v>0.13180941854985101</c:v>
                </c:pt>
                <c:pt idx="6">
                  <c:v>0.110896296542391</c:v>
                </c:pt>
                <c:pt idx="7">
                  <c:v>0.107487969655909</c:v>
                </c:pt>
                <c:pt idx="8">
                  <c:v>9.4170012216891405E-2</c:v>
                </c:pt>
                <c:pt idx="9">
                  <c:v>8.6260565471790104E-2</c:v>
                </c:pt>
                <c:pt idx="10">
                  <c:v>7.7970869996828299E-2</c:v>
                </c:pt>
                <c:pt idx="11">
                  <c:v>7.3762135669068002E-2</c:v>
                </c:pt>
                <c:pt idx="12">
                  <c:v>6.9618650665441206E-2</c:v>
                </c:pt>
                <c:pt idx="13">
                  <c:v>8.6800636820777599E-2</c:v>
                </c:pt>
                <c:pt idx="14">
                  <c:v>8.5920120290937999E-2</c:v>
                </c:pt>
                <c:pt idx="15">
                  <c:v>9.1839442367141005E-2</c:v>
                </c:pt>
                <c:pt idx="16">
                  <c:v>0.13279454032274199</c:v>
                </c:pt>
                <c:pt idx="17">
                  <c:v>0.148654213476205</c:v>
                </c:pt>
                <c:pt idx="18">
                  <c:v>0.16555688303383401</c:v>
                </c:pt>
                <c:pt idx="19">
                  <c:v>0.12805213274857799</c:v>
                </c:pt>
                <c:pt idx="20">
                  <c:v>0.13861430289072399</c:v>
                </c:pt>
                <c:pt idx="21">
                  <c:v>0.117815437324345</c:v>
                </c:pt>
                <c:pt idx="22">
                  <c:v>0.10885390707734301</c:v>
                </c:pt>
                <c:pt idx="23">
                  <c:v>0.113056424662013</c:v>
                </c:pt>
                <c:pt idx="24">
                  <c:v>0.10698085758039801</c:v>
                </c:pt>
                <c:pt idx="25">
                  <c:v>0.109556680892261</c:v>
                </c:pt>
                <c:pt idx="26">
                  <c:v>9.1526294468243702E-2</c:v>
                </c:pt>
                <c:pt idx="27">
                  <c:v>9.3222137497536203E-2</c:v>
                </c:pt>
                <c:pt idx="28">
                  <c:v>9.8469707444560101E-2</c:v>
                </c:pt>
                <c:pt idx="29">
                  <c:v>9.7034561528844404E-2</c:v>
                </c:pt>
                <c:pt idx="30">
                  <c:v>7.87998690667326E-2</c:v>
                </c:pt>
                <c:pt idx="31">
                  <c:v>0.101340652021934</c:v>
                </c:pt>
                <c:pt idx="32">
                  <c:v>0.191369593002753</c:v>
                </c:pt>
                <c:pt idx="33">
                  <c:v>0.173424919241603</c:v>
                </c:pt>
                <c:pt idx="34">
                  <c:v>0.11853276648090701</c:v>
                </c:pt>
                <c:pt idx="35">
                  <c:v>7.0798258750327095E-2</c:v>
                </c:pt>
                <c:pt idx="36">
                  <c:v>6.4769776682171806E-2</c:v>
                </c:pt>
                <c:pt idx="37">
                  <c:v>4.4893333566251102E-2</c:v>
                </c:pt>
                <c:pt idx="38">
                  <c:v>4.0938493055882798E-2</c:v>
                </c:pt>
                <c:pt idx="39">
                  <c:v>5.6669464132182303E-2</c:v>
                </c:pt>
                <c:pt idx="40">
                  <c:v>4.4463352758598397E-2</c:v>
                </c:pt>
                <c:pt idx="41">
                  <c:v>3.69162273230111E-2</c:v>
                </c:pt>
                <c:pt idx="42">
                  <c:v>3.8393200206800003E-2</c:v>
                </c:pt>
                <c:pt idx="43">
                  <c:v>4.2168033739248698E-2</c:v>
                </c:pt>
                <c:pt idx="44">
                  <c:v>4.3629530819530901E-2</c:v>
                </c:pt>
                <c:pt idx="45">
                  <c:v>3.9969877342657098E-2</c:v>
                </c:pt>
                <c:pt idx="46">
                  <c:v>3.5975021641503603E-2</c:v>
                </c:pt>
                <c:pt idx="47">
                  <c:v>3.9813453309839202E-2</c:v>
                </c:pt>
                <c:pt idx="48">
                  <c:v>3.6938241229939703E-2</c:v>
                </c:pt>
                <c:pt idx="49">
                  <c:v>3.8608796133324998E-2</c:v>
                </c:pt>
                <c:pt idx="50">
                  <c:v>4.10953164410311E-2</c:v>
                </c:pt>
                <c:pt idx="51">
                  <c:v>3.0613074623884601E-2</c:v>
                </c:pt>
                <c:pt idx="52">
                  <c:v>2.98907444638969E-2</c:v>
                </c:pt>
                <c:pt idx="53">
                  <c:v>2.5771437638168401E-2</c:v>
                </c:pt>
                <c:pt idx="54">
                  <c:v>1.3867154794918001E-2</c:v>
                </c:pt>
                <c:pt idx="55">
                  <c:v>2.0924399264480201E-2</c:v>
                </c:pt>
                <c:pt idx="56">
                  <c:v>1.82072195645945E-2</c:v>
                </c:pt>
                <c:pt idx="57">
                  <c:v>2.6857008565070398E-2</c:v>
                </c:pt>
                <c:pt idx="58">
                  <c:v>2.65412600247476E-2</c:v>
                </c:pt>
                <c:pt idx="59">
                  <c:v>1.87961441979289E-2</c:v>
                </c:pt>
                <c:pt idx="60">
                  <c:v>1.7521970622832499E-2</c:v>
                </c:pt>
                <c:pt idx="61">
                  <c:v>2.0076061226145001E-2</c:v>
                </c:pt>
                <c:pt idx="62">
                  <c:v>1.8528050708962501E-2</c:v>
                </c:pt>
                <c:pt idx="63">
                  <c:v>1.8025866408799801E-2</c:v>
                </c:pt>
                <c:pt idx="64">
                  <c:v>1.23684547052571E-2</c:v>
                </c:pt>
                <c:pt idx="65">
                  <c:v>4.2418248845911503E-3</c:v>
                </c:pt>
                <c:pt idx="66">
                  <c:v>8.4853213241623698E-4</c:v>
                </c:pt>
                <c:pt idx="67">
                  <c:v>-4.20794870657461E-4</c:v>
                </c:pt>
                <c:pt idx="68">
                  <c:v>4.6748918891250198E-4</c:v>
                </c:pt>
                <c:pt idx="69">
                  <c:v>1.4941256083714099E-3</c:v>
                </c:pt>
                <c:pt idx="70">
                  <c:v>3.0755182303311198E-3</c:v>
                </c:pt>
                <c:pt idx="71">
                  <c:v>2.7484670860897999E-3</c:v>
                </c:pt>
                <c:pt idx="72">
                  <c:v>2.29376692491299E-3</c:v>
                </c:pt>
                <c:pt idx="73">
                  <c:v>1.71629373551595E-4</c:v>
                </c:pt>
              </c:numCache>
            </c:numRef>
          </c:val>
          <c:smooth val="0"/>
          <c:extLst>
            <c:ext xmlns:c16="http://schemas.microsoft.com/office/drawing/2014/chart" uri="{C3380CC4-5D6E-409C-BE32-E72D297353CC}">
              <c16:uniqueId val="{00000000-A7B9-4E83-A5FA-2254482DDDB5}"/>
            </c:ext>
          </c:extLst>
        </c:ser>
        <c:ser>
          <c:idx val="1"/>
          <c:order val="1"/>
          <c:tx>
            <c:v>sintetica</c:v>
          </c:tx>
          <c:spPr>
            <a:ln w="28575" cap="rnd">
              <a:solidFill>
                <a:schemeClr val="accent2"/>
              </a:solidFill>
              <a:round/>
            </a:ln>
            <a:effectLst/>
          </c:spPr>
          <c:marker>
            <c:symbol val="none"/>
          </c:marker>
          <c:val>
            <c:numRef>
              <c:f>Brazil_interest!$J$3:$J$130</c:f>
              <c:numCache>
                <c:formatCode>0.000000</c:formatCode>
                <c:ptCount val="128"/>
                <c:pt idx="0">
                  <c:v>0.13688330000000001</c:v>
                </c:pt>
                <c:pt idx="1">
                  <c:v>0.1019278</c:v>
                </c:pt>
                <c:pt idx="2">
                  <c:v>0.1291245</c:v>
                </c:pt>
                <c:pt idx="3">
                  <c:v>0.17417879999999999</c:v>
                </c:pt>
                <c:pt idx="4">
                  <c:v>0.140343</c:v>
                </c:pt>
                <c:pt idx="5">
                  <c:v>0.13083810000000001</c:v>
                </c:pt>
                <c:pt idx="6">
                  <c:v>0.11931849999999999</c:v>
                </c:pt>
                <c:pt idx="7">
                  <c:v>0.1139008</c:v>
                </c:pt>
                <c:pt idx="8">
                  <c:v>0.1050886</c:v>
                </c:pt>
                <c:pt idx="9">
                  <c:v>8.4835400000000005E-2</c:v>
                </c:pt>
                <c:pt idx="10">
                  <c:v>8.3836599999999997E-2</c:v>
                </c:pt>
                <c:pt idx="11">
                  <c:v>8.2451300000000005E-2</c:v>
                </c:pt>
                <c:pt idx="12">
                  <c:v>7.3363399999999995E-2</c:v>
                </c:pt>
                <c:pt idx="13">
                  <c:v>7.0102300000000006E-2</c:v>
                </c:pt>
                <c:pt idx="14">
                  <c:v>8.6091699999999993E-2</c:v>
                </c:pt>
                <c:pt idx="15">
                  <c:v>8.3291699999999996E-2</c:v>
                </c:pt>
                <c:pt idx="16">
                  <c:v>0.1073378</c:v>
                </c:pt>
                <c:pt idx="17">
                  <c:v>0.1681124</c:v>
                </c:pt>
                <c:pt idx="18">
                  <c:v>0.14894560000000001</c:v>
                </c:pt>
                <c:pt idx="19">
                  <c:v>0.13006880000000001</c:v>
                </c:pt>
                <c:pt idx="20">
                  <c:v>0.1304864</c:v>
                </c:pt>
                <c:pt idx="21">
                  <c:v>0.1345713</c:v>
                </c:pt>
                <c:pt idx="22">
                  <c:v>9.9335900000000005E-2</c:v>
                </c:pt>
                <c:pt idx="23">
                  <c:v>0.1111949</c:v>
                </c:pt>
                <c:pt idx="24">
                  <c:v>0.10798679999999999</c:v>
                </c:pt>
                <c:pt idx="25">
                  <c:v>0.1121441</c:v>
                </c:pt>
                <c:pt idx="26">
                  <c:v>0.1126679</c:v>
                </c:pt>
                <c:pt idx="27">
                  <c:v>0.10011009999999999</c:v>
                </c:pt>
                <c:pt idx="28">
                  <c:v>0.1009832</c:v>
                </c:pt>
                <c:pt idx="29">
                  <c:v>0.11117829999999999</c:v>
                </c:pt>
                <c:pt idx="30">
                  <c:v>8.4045089449445484E-2</c:v>
                </c:pt>
                <c:pt idx="31">
                  <c:v>0.10399130594552425</c:v>
                </c:pt>
                <c:pt idx="32">
                  <c:v>0.18365742718386113</c:v>
                </c:pt>
                <c:pt idx="33">
                  <c:v>0.1677782827680365</c:v>
                </c:pt>
                <c:pt idx="34">
                  <c:v>0.11920451471939744</c:v>
                </c:pt>
                <c:pt idx="35">
                  <c:v>7.6964507909510455E-2</c:v>
                </c:pt>
                <c:pt idx="36">
                  <c:v>7.1629936847221465E-2</c:v>
                </c:pt>
                <c:pt idx="37">
                  <c:v>5.4041380214113768E-2</c:v>
                </c:pt>
                <c:pt idx="38">
                  <c:v>5.0541763311540033E-2</c:v>
                </c:pt>
                <c:pt idx="39">
                  <c:v>6.4462014236498166E-2</c:v>
                </c:pt>
                <c:pt idx="40">
                  <c:v>5.3660892531159493E-2</c:v>
                </c:pt>
                <c:pt idx="41">
                  <c:v>4.6982482195526074E-2</c:v>
                </c:pt>
                <c:pt idx="42">
                  <c:v>4.8289447484062914E-2</c:v>
                </c:pt>
                <c:pt idx="43">
                  <c:v>5.162977718887049E-2</c:v>
                </c:pt>
                <c:pt idx="44">
                  <c:v>5.2923048022879782E-2</c:v>
                </c:pt>
                <c:pt idx="45">
                  <c:v>4.9684640524106191E-2</c:v>
                </c:pt>
                <c:pt idx="46">
                  <c:v>4.6149614396390648E-2</c:v>
                </c:pt>
                <c:pt idx="47">
                  <c:v>4.954622174646317E-2</c:v>
                </c:pt>
                <c:pt idx="48">
                  <c:v>4.7001962182285847E-2</c:v>
                </c:pt>
                <c:pt idx="49">
                  <c:v>4.8480227149289581E-2</c:v>
                </c:pt>
                <c:pt idx="50">
                  <c:v>5.0680535473892716E-2</c:v>
                </c:pt>
                <c:pt idx="51">
                  <c:v>4.140485658267623E-2</c:v>
                </c:pt>
                <c:pt idx="52">
                  <c:v>4.0765670544578247E-2</c:v>
                </c:pt>
                <c:pt idx="53">
                  <c:v>3.7120518292189611E-2</c:v>
                </c:pt>
                <c:pt idx="54">
                  <c:v>2.6586483015156936E-2</c:v>
                </c:pt>
                <c:pt idx="55">
                  <c:v>3.2831400342802811E-2</c:v>
                </c:pt>
                <c:pt idx="56">
                  <c:v>3.0426982773972794E-2</c:v>
                </c:pt>
                <c:pt idx="57">
                  <c:v>3.8081134113426632E-2</c:v>
                </c:pt>
                <c:pt idx="58">
                  <c:v>3.7801729943832504E-2</c:v>
                </c:pt>
                <c:pt idx="59">
                  <c:v>3.0948118985598981E-2</c:v>
                </c:pt>
                <c:pt idx="60">
                  <c:v>2.9820609704622969E-2</c:v>
                </c:pt>
                <c:pt idx="61">
                  <c:v>3.2080710617067798E-2</c:v>
                </c:pt>
                <c:pt idx="62">
                  <c:v>3.0710884512300484E-2</c:v>
                </c:pt>
                <c:pt idx="63">
                  <c:v>3.0266504350711397E-2</c:v>
                </c:pt>
                <c:pt idx="64">
                  <c:v>2.5260291440069214E-2</c:v>
                </c:pt>
                <c:pt idx="65">
                  <c:v>1.8069080819362343E-2</c:v>
                </c:pt>
                <c:pt idx="66">
                  <c:v>1.5066374480191573E-2</c:v>
                </c:pt>
                <c:pt idx="67">
                  <c:v>1.3943153904493492E-2</c:v>
                </c:pt>
                <c:pt idx="68">
                  <c:v>1.472919164761056E-2</c:v>
                </c:pt>
                <c:pt idx="69">
                  <c:v>1.5637656643080526E-2</c:v>
                </c:pt>
                <c:pt idx="70">
                  <c:v>1.7037022391182516E-2</c:v>
                </c:pt>
                <c:pt idx="71">
                  <c:v>1.6747616608726219E-2</c:v>
                </c:pt>
                <c:pt idx="72">
                  <c:v>1.6345254904003723E-2</c:v>
                </c:pt>
                <c:pt idx="73">
                  <c:v>1.4467386902788384E-2</c:v>
                </c:pt>
                <c:pt idx="74">
                  <c:v>1.3693468695879183E-2</c:v>
                </c:pt>
                <c:pt idx="75">
                  <c:v>1.5203345762074997E-2</c:v>
                </c:pt>
                <c:pt idx="76">
                  <c:v>1.451513858070466E-2</c:v>
                </c:pt>
                <c:pt idx="77">
                  <c:v>1.6330254929198113E-2</c:v>
                </c:pt>
                <c:pt idx="78">
                  <c:v>1.4891601374486167E-2</c:v>
                </c:pt>
                <c:pt idx="79">
                  <c:v>1.4048712893713566E-2</c:v>
                </c:pt>
                <c:pt idx="80">
                  <c:v>1.3759983861105557E-2</c:v>
                </c:pt>
                <c:pt idx="81">
                  <c:v>1.5063233795172057E-2</c:v>
                </c:pt>
                <c:pt idx="82">
                  <c:v>1.9152139428076191E-2</c:v>
                </c:pt>
                <c:pt idx="83">
                  <c:v>2.0157032153963129E-2</c:v>
                </c:pt>
                <c:pt idx="84">
                  <c:v>2.4448345112012444E-2</c:v>
                </c:pt>
                <c:pt idx="85">
                  <c:v>2.5782570802387546E-2</c:v>
                </c:pt>
                <c:pt idx="86">
                  <c:v>2.1654334037760081E-2</c:v>
                </c:pt>
                <c:pt idx="87">
                  <c:v>1.9897074728938983E-2</c:v>
                </c:pt>
                <c:pt idx="88">
                  <c:v>1.8584584154744479E-2</c:v>
                </c:pt>
                <c:pt idx="89">
                  <c:v>1.8238446505410323E-2</c:v>
                </c:pt>
                <c:pt idx="90">
                  <c:v>1.6458208186393462E-2</c:v>
                </c:pt>
                <c:pt idx="91">
                  <c:v>1.652210322636892E-2</c:v>
                </c:pt>
                <c:pt idx="92">
                  <c:v>1.7343519757075432E-2</c:v>
                </c:pt>
                <c:pt idx="93">
                  <c:v>1.6060976706827535E-2</c:v>
                </c:pt>
                <c:pt idx="94">
                  <c:v>1.7070370244412509E-2</c:v>
                </c:pt>
                <c:pt idx="95">
                  <c:v>1.9563924407270627E-2</c:v>
                </c:pt>
                <c:pt idx="96">
                  <c:v>1.8828654609588803E-2</c:v>
                </c:pt>
                <c:pt idx="97">
                  <c:v>1.9022870908838266E-2</c:v>
                </c:pt>
                <c:pt idx="98">
                  <c:v>1.9175683770376446E-2</c:v>
                </c:pt>
                <c:pt idx="99">
                  <c:v>1.8372842883432994E-2</c:v>
                </c:pt>
                <c:pt idx="100">
                  <c:v>1.789273841393119E-2</c:v>
                </c:pt>
                <c:pt idx="101">
                  <c:v>1.6273990283224109E-2</c:v>
                </c:pt>
                <c:pt idx="102">
                  <c:v>1.5881907048175565E-2</c:v>
                </c:pt>
                <c:pt idx="103">
                  <c:v>1.6831844457930192E-2</c:v>
                </c:pt>
                <c:pt idx="104">
                  <c:v>1.8365679576280575E-2</c:v>
                </c:pt>
                <c:pt idx="105">
                  <c:v>1.4589790339124198E-2</c:v>
                </c:pt>
                <c:pt idx="106">
                  <c:v>1.6332658367013572E-2</c:v>
                </c:pt>
                <c:pt idx="107">
                  <c:v>1.2199375327560026E-2</c:v>
                </c:pt>
                <c:pt idx="108">
                  <c:v>7.5271186004221176E-3</c:v>
                </c:pt>
                <c:pt idx="109">
                  <c:v>7.4547520595842805E-3</c:v>
                </c:pt>
                <c:pt idx="110">
                  <c:v>4.5895891756366439E-3</c:v>
                </c:pt>
                <c:pt idx="111">
                  <c:v>6.021887891669693E-3</c:v>
                </c:pt>
                <c:pt idx="112">
                  <c:v>9.1743637316761377E-3</c:v>
                </c:pt>
                <c:pt idx="113">
                  <c:v>1.2052598909155766E-2</c:v>
                </c:pt>
                <c:pt idx="114">
                  <c:v>1.6208701293331556E-2</c:v>
                </c:pt>
                <c:pt idx="115">
                  <c:v>1.9433040893745139E-2</c:v>
                </c:pt>
                <c:pt idx="116">
                  <c:v>2.3943632421578015E-2</c:v>
                </c:pt>
                <c:pt idx="117">
                  <c:v>2.1149267790728503E-2</c:v>
                </c:pt>
                <c:pt idx="118">
                  <c:v>2.2134865637183636E-2</c:v>
                </c:pt>
                <c:pt idx="119">
                  <c:v>2.2569300670386275E-2</c:v>
                </c:pt>
                <c:pt idx="120">
                  <c:v>2.2054894383831472E-2</c:v>
                </c:pt>
                <c:pt idx="121">
                  <c:v>2.3502472983093096E-2</c:v>
                </c:pt>
                <c:pt idx="122">
                  <c:v>2.1767091593877162E-2</c:v>
                </c:pt>
                <c:pt idx="123">
                  <c:v>2.2162045955250356E-2</c:v>
                </c:pt>
                <c:pt idx="124">
                  <c:v>2.0472638495448076E-2</c:v>
                </c:pt>
                <c:pt idx="125">
                  <c:v>1.893918497022621E-2</c:v>
                </c:pt>
                <c:pt idx="126">
                  <c:v>1.9836395159949234E-2</c:v>
                </c:pt>
                <c:pt idx="127">
                  <c:v>1.834481343689149E-2</c:v>
                </c:pt>
              </c:numCache>
            </c:numRef>
          </c:val>
          <c:smooth val="0"/>
          <c:extLst>
            <c:ext xmlns:c16="http://schemas.microsoft.com/office/drawing/2014/chart" uri="{C3380CC4-5D6E-409C-BE32-E72D297353CC}">
              <c16:uniqueId val="{00000001-A7B9-4E83-A5FA-2254482DDDB5}"/>
            </c:ext>
          </c:extLst>
        </c:ser>
        <c:ser>
          <c:idx val="2"/>
          <c:order val="2"/>
          <c:tx>
            <c:v>stata</c:v>
          </c:tx>
          <c:spPr>
            <a:ln w="28575" cap="rnd">
              <a:solidFill>
                <a:schemeClr val="accent3"/>
              </a:solidFill>
              <a:round/>
            </a:ln>
            <a:effectLst/>
          </c:spPr>
          <c:marker>
            <c:symbol val="none"/>
          </c:marker>
          <c:val>
            <c:numRef>
              <c:f>Brazil_interest!$H$3:$H$130</c:f>
              <c:numCache>
                <c:formatCode>0.000000</c:formatCode>
                <c:ptCount val="128"/>
                <c:pt idx="0">
                  <c:v>0.13688330000000001</c:v>
                </c:pt>
                <c:pt idx="1">
                  <c:v>0.1019278</c:v>
                </c:pt>
                <c:pt idx="2">
                  <c:v>0.1291245</c:v>
                </c:pt>
                <c:pt idx="3">
                  <c:v>0.17417879999999999</c:v>
                </c:pt>
                <c:pt idx="4">
                  <c:v>0.140343</c:v>
                </c:pt>
                <c:pt idx="5">
                  <c:v>0.13083810000000001</c:v>
                </c:pt>
                <c:pt idx="6">
                  <c:v>0.11931849999999999</c:v>
                </c:pt>
                <c:pt idx="7">
                  <c:v>0.1139008</c:v>
                </c:pt>
                <c:pt idx="8">
                  <c:v>0.1050886</c:v>
                </c:pt>
                <c:pt idx="9">
                  <c:v>8.4835400000000005E-2</c:v>
                </c:pt>
                <c:pt idx="10">
                  <c:v>8.3836599999999997E-2</c:v>
                </c:pt>
                <c:pt idx="11">
                  <c:v>8.2451300000000005E-2</c:v>
                </c:pt>
                <c:pt idx="12">
                  <c:v>7.3363399999999995E-2</c:v>
                </c:pt>
                <c:pt idx="13">
                  <c:v>7.0102300000000006E-2</c:v>
                </c:pt>
                <c:pt idx="14">
                  <c:v>8.6091699999999993E-2</c:v>
                </c:pt>
                <c:pt idx="15">
                  <c:v>8.3291699999999996E-2</c:v>
                </c:pt>
                <c:pt idx="16">
                  <c:v>0.1073378</c:v>
                </c:pt>
                <c:pt idx="17">
                  <c:v>0.1681124</c:v>
                </c:pt>
                <c:pt idx="18">
                  <c:v>0.14894560000000001</c:v>
                </c:pt>
                <c:pt idx="19">
                  <c:v>0.13006880000000001</c:v>
                </c:pt>
                <c:pt idx="20">
                  <c:v>0.1304864</c:v>
                </c:pt>
                <c:pt idx="21">
                  <c:v>0.1345713</c:v>
                </c:pt>
                <c:pt idx="22">
                  <c:v>9.9335900000000005E-2</c:v>
                </c:pt>
                <c:pt idx="23">
                  <c:v>0.1111949</c:v>
                </c:pt>
                <c:pt idx="24">
                  <c:v>0.10798679999999999</c:v>
                </c:pt>
                <c:pt idx="25">
                  <c:v>0.1121441</c:v>
                </c:pt>
                <c:pt idx="26">
                  <c:v>0.1126679</c:v>
                </c:pt>
                <c:pt idx="27">
                  <c:v>0.10011009999999999</c:v>
                </c:pt>
                <c:pt idx="28">
                  <c:v>0.1009832</c:v>
                </c:pt>
                <c:pt idx="29">
                  <c:v>0.11117829999999999</c:v>
                </c:pt>
              </c:numCache>
            </c:numRef>
          </c:val>
          <c:smooth val="0"/>
          <c:extLst>
            <c:ext xmlns:c16="http://schemas.microsoft.com/office/drawing/2014/chart" uri="{C3380CC4-5D6E-409C-BE32-E72D297353CC}">
              <c16:uniqueId val="{00000002-A7B9-4E83-A5FA-2254482DDDB5}"/>
            </c:ext>
          </c:extLst>
        </c:ser>
        <c:dLbls>
          <c:showLegendKey val="0"/>
          <c:showVal val="0"/>
          <c:showCatName val="0"/>
          <c:showSerName val="0"/>
          <c:showPercent val="0"/>
          <c:showBubbleSize val="0"/>
        </c:dLbls>
        <c:smooth val="0"/>
        <c:axId val="1129186591"/>
        <c:axId val="1788242448"/>
      </c:lineChart>
      <c:catAx>
        <c:axId val="1129186591"/>
        <c:scaling>
          <c:orientation val="minMax"/>
        </c:scaling>
        <c:delete val="0"/>
        <c:axPos val="b"/>
        <c:numFmt formatCode="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788242448"/>
        <c:crosses val="autoZero"/>
        <c:auto val="1"/>
        <c:lblAlgn val="ctr"/>
        <c:lblOffset val="100"/>
        <c:noMultiLvlLbl val="0"/>
      </c:catAx>
      <c:valAx>
        <c:axId val="1788242448"/>
        <c:scaling>
          <c:orientation val="minMax"/>
        </c:scaling>
        <c:delete val="0"/>
        <c:axPos val="l"/>
        <c:majorGridlines>
          <c:spPr>
            <a:ln w="9525" cap="flat" cmpd="sng" algn="ctr">
              <a:solidFill>
                <a:schemeClr val="tx1">
                  <a:lumMod val="15000"/>
                  <a:lumOff val="85000"/>
                </a:schemeClr>
              </a:solidFill>
              <a:round/>
            </a:ln>
            <a:effectLst/>
          </c:spPr>
        </c:majorGridlines>
        <c:numFmt formatCode="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29186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Comparando series de crescimento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spPr>
            <a:ln w="28575" cap="rnd">
              <a:solidFill>
                <a:schemeClr val="accent1"/>
              </a:solidFill>
              <a:round/>
            </a:ln>
            <a:effectLst/>
          </c:spPr>
          <c:marker>
            <c:symbol val="none"/>
          </c:marker>
          <c:trendline>
            <c:spPr>
              <a:ln w="19050" cap="rnd">
                <a:solidFill>
                  <a:schemeClr val="accent1"/>
                </a:solidFill>
                <a:prstDash val="sysDot"/>
              </a:ln>
              <a:effectLst/>
            </c:spPr>
            <c:trendlineType val="movingAvg"/>
            <c:period val="4"/>
            <c:dispRSqr val="0"/>
            <c:dispEq val="0"/>
          </c:trendline>
          <c:val>
            <c:numRef>
              <c:f>PIB!$C$6:$C$122</c:f>
              <c:numCache>
                <c:formatCode>General</c:formatCode>
                <c:ptCount val="117"/>
                <c:pt idx="0">
                  <c:v>5.0497937833215989</c:v>
                </c:pt>
                <c:pt idx="1">
                  <c:v>4.3041749502982229</c:v>
                </c:pt>
                <c:pt idx="2">
                  <c:v>1.879014476080898</c:v>
                </c:pt>
                <c:pt idx="3">
                  <c:v>3.716608594657389</c:v>
                </c:pt>
                <c:pt idx="4">
                  <c:v>0.58412333620607715</c:v>
                </c:pt>
                <c:pt idx="5">
                  <c:v>1.8297912894310375</c:v>
                </c:pt>
                <c:pt idx="6">
                  <c:v>0.50813964430225234</c:v>
                </c:pt>
                <c:pt idx="7">
                  <c:v>-1.4650989175065243</c:v>
                </c:pt>
                <c:pt idx="8">
                  <c:v>0.70449352627570683</c:v>
                </c:pt>
                <c:pt idx="9">
                  <c:v>-0.4773046326626007</c:v>
                </c:pt>
                <c:pt idx="10">
                  <c:v>-0.44003370470929726</c:v>
                </c:pt>
                <c:pt idx="11">
                  <c:v>2.1403542002083498</c:v>
                </c:pt>
                <c:pt idx="12">
                  <c:v>3.0251465305350722</c:v>
                </c:pt>
                <c:pt idx="13">
                  <c:v>3.9401918375023381</c:v>
                </c:pt>
                <c:pt idx="14">
                  <c:v>5.1626857250329117</c:v>
                </c:pt>
                <c:pt idx="15">
                  <c:v>4.960593416782566</c:v>
                </c:pt>
                <c:pt idx="16">
                  <c:v>4.2484859607267333</c:v>
                </c:pt>
                <c:pt idx="17">
                  <c:v>2.2980186374739864</c:v>
                </c:pt>
                <c:pt idx="18">
                  <c:v>0.57229723687739487</c:v>
                </c:pt>
                <c:pt idx="19">
                  <c:v>-0.9187279151943506</c:v>
                </c:pt>
                <c:pt idx="20">
                  <c:v>1.1706715958102354</c:v>
                </c:pt>
                <c:pt idx="21">
                  <c:v>1.874944724506955</c:v>
                </c:pt>
                <c:pt idx="22">
                  <c:v>3.8499155330310231</c:v>
                </c:pt>
                <c:pt idx="23">
                  <c:v>5.2068473609129917</c:v>
                </c:pt>
                <c:pt idx="24">
                  <c:v>2.2011484252653535</c:v>
                </c:pt>
                <c:pt idx="25">
                  <c:v>1.1198888792429917</c:v>
                </c:pt>
                <c:pt idx="26">
                  <c:v>0.66780821917808986</c:v>
                </c:pt>
                <c:pt idx="27">
                  <c:v>0.68644067796610475</c:v>
                </c:pt>
                <c:pt idx="28">
                  <c:v>2.5283050991742551</c:v>
                </c:pt>
                <c:pt idx="29">
                  <c:v>6.25</c:v>
                </c:pt>
                <c:pt idx="30">
                  <c:v>6.5997618642626321</c:v>
                </c:pt>
                <c:pt idx="31">
                  <c:v>6.3041831495665335</c:v>
                </c:pt>
                <c:pt idx="32">
                  <c:v>5.7954168050481591</c:v>
                </c:pt>
                <c:pt idx="33">
                  <c:v>4.0239172592113848</c:v>
                </c:pt>
                <c:pt idx="34">
                  <c:v>2.1381841391415302</c:v>
                </c:pt>
                <c:pt idx="35">
                  <c:v>2.6444972288202528</c:v>
                </c:pt>
                <c:pt idx="36">
                  <c:v>3.3982106419714331</c:v>
                </c:pt>
                <c:pt idx="37">
                  <c:v>2.6409818238309679</c:v>
                </c:pt>
                <c:pt idx="38">
                  <c:v>4.9445399156381686</c:v>
                </c:pt>
                <c:pt idx="39">
                  <c:v>4.8441838938599213</c:v>
                </c:pt>
                <c:pt idx="40">
                  <c:v>5.1157495256167085</c:v>
                </c:pt>
                <c:pt idx="41">
                  <c:v>6.5536552141668203</c:v>
                </c:pt>
                <c:pt idx="42">
                  <c:v>5.8876069966505407</c:v>
                </c:pt>
                <c:pt idx="43">
                  <c:v>6.2536786344908668</c:v>
                </c:pt>
                <c:pt idx="44">
                  <c:v>5.6105133944688967</c:v>
                </c:pt>
                <c:pt idx="45">
                  <c:v>5.9517045454545503</c:v>
                </c:pt>
                <c:pt idx="46">
                  <c:v>6.5935610853367077</c:v>
                </c:pt>
                <c:pt idx="47">
                  <c:v>1.0386373078520972</c:v>
                </c:pt>
                <c:pt idx="48">
                  <c:v>-1.6682619991795433</c:v>
                </c:pt>
                <c:pt idx="49">
                  <c:v>-1.8098940876793201</c:v>
                </c:pt>
                <c:pt idx="50">
                  <c:v>-1.1474544974940493</c:v>
                </c:pt>
                <c:pt idx="51">
                  <c:v>5.3796600877193068</c:v>
                </c:pt>
                <c:pt idx="52">
                  <c:v>9.1155611180642637</c:v>
                </c:pt>
                <c:pt idx="53">
                  <c:v>8.5062807209175482</c:v>
                </c:pt>
                <c:pt idx="54">
                  <c:v>6.9646430953969274</c:v>
                </c:pt>
                <c:pt idx="55">
                  <c:v>5.7618521167978054</c:v>
                </c:pt>
                <c:pt idx="56">
                  <c:v>5.0149748295418295</c:v>
                </c:pt>
                <c:pt idx="57">
                  <c:v>4.7439285264879727</c:v>
                </c:pt>
                <c:pt idx="58">
                  <c:v>3.5986029686915444</c:v>
                </c:pt>
                <c:pt idx="59">
                  <c:v>3.0621656520937179</c:v>
                </c:pt>
                <c:pt idx="60">
                  <c:v>0.26092233009706867</c:v>
                </c:pt>
                <c:pt idx="61">
                  <c:v>1.0451705910619946</c:v>
                </c:pt>
                <c:pt idx="62">
                  <c:v>3.0040334717957862</c:v>
                </c:pt>
                <c:pt idx="63">
                  <c:v>2.1180120517868772</c:v>
                </c:pt>
                <c:pt idx="64">
                  <c:v>4.1517884161472063</c:v>
                </c:pt>
                <c:pt idx="65">
                  <c:v>3.6975389371061596</c:v>
                </c:pt>
                <c:pt idx="66">
                  <c:v>2.4430157802454833</c:v>
                </c:pt>
                <c:pt idx="67">
                  <c:v>2.5706940874036022</c:v>
                </c:pt>
                <c:pt idx="68">
                  <c:v>2.870590969841369</c:v>
                </c:pt>
                <c:pt idx="69">
                  <c:v>-5.7326301306948046E-3</c:v>
                </c:pt>
                <c:pt idx="70">
                  <c:v>-0.54198995892286161</c:v>
                </c:pt>
                <c:pt idx="71">
                  <c:v>-0.18227386648438371</c:v>
                </c:pt>
                <c:pt idx="72">
                  <c:v>-1.8019544709936164</c:v>
                </c:pt>
                <c:pt idx="73">
                  <c:v>-2.6772917502723259</c:v>
                </c:pt>
                <c:pt idx="74">
                  <c:v>-4.2276142947283883</c:v>
                </c:pt>
                <c:pt idx="75">
                  <c:v>-5.4553754850490748</c:v>
                </c:pt>
                <c:pt idx="76">
                  <c:v>-6.057294063506669</c:v>
                </c:pt>
                <c:pt idx="77">
                  <c:v>-3.5461828463713374</c:v>
                </c:pt>
                <c:pt idx="78">
                  <c:v>-2.4496885481552488</c:v>
                </c:pt>
                <c:pt idx="79">
                  <c:v>-1.810719459198451</c:v>
                </c:pt>
                <c:pt idx="80">
                  <c:v>0.64294899271324368</c:v>
                </c:pt>
                <c:pt idx="81">
                  <c:v>1.2214486380847767</c:v>
                </c:pt>
                <c:pt idx="82">
                  <c:v>1.9831767667464861</c:v>
                </c:pt>
                <c:pt idx="83">
                  <c:v>2.6555200393410416</c:v>
                </c:pt>
                <c:pt idx="84">
                  <c:v>2.2389875882209642</c:v>
                </c:pt>
                <c:pt idx="85">
                  <c:v>1.2610112223965242</c:v>
                </c:pt>
                <c:pt idx="86">
                  <c:v>2.0108368452739445</c:v>
                </c:pt>
                <c:pt idx="87">
                  <c:v>1.2095808383233653</c:v>
                </c:pt>
                <c:pt idx="88">
                  <c:v>0.87479171625803875</c:v>
                </c:pt>
                <c:pt idx="89">
                  <c:v>1.5908955490675059</c:v>
                </c:pt>
                <c:pt idx="90">
                  <c:v>0.64919735599622275</c:v>
                </c:pt>
                <c:pt idx="91">
                  <c:v>1.7867707963554524</c:v>
                </c:pt>
                <c:pt idx="92">
                  <c:v>-0.8377086897528141</c:v>
                </c:pt>
                <c:pt idx="93">
                  <c:v>-10.164222873900297</c:v>
                </c:pt>
                <c:pt idx="94">
                  <c:v>-3.0667292130878376</c:v>
                </c:pt>
                <c:pt idx="95">
                  <c:v>-0.22669146710067034</c:v>
                </c:pt>
                <c:pt idx="96">
                  <c:v>3.0102921054197207</c:v>
                </c:pt>
                <c:pt idx="97">
                  <c:v>12.254357902983614</c:v>
                </c:pt>
                <c:pt idx="98">
                  <c:v>4.1679269251708728</c:v>
                </c:pt>
                <c:pt idx="99">
                  <c:v>1.6603553743081756</c:v>
                </c:pt>
                <c:pt idx="100">
                  <c:v>1.472711521801906</c:v>
                </c:pt>
                <c:pt idx="101">
                  <c:v>3.3500058159823043</c:v>
                </c:pt>
                <c:pt idx="102">
                  <c:v>4.2857142857142927</c:v>
                </c:pt>
                <c:pt idx="103">
                  <c:v>3.352435530085951</c:v>
                </c:pt>
                <c:pt idx="104">
                  <c:v>4.0239043824701337</c:v>
                </c:pt>
                <c:pt idx="105">
                  <c:v>3.6522228474957785</c:v>
                </c:pt>
                <c:pt idx="106">
                  <c:v>2.700746185544034</c:v>
                </c:pt>
                <c:pt idx="107">
                  <c:v>2.6559467701691153</c:v>
                </c:pt>
                <c:pt idx="108">
                  <c:v>1.9861027520927887</c:v>
                </c:pt>
                <c:pt idx="109">
                  <c:v>2.8937510179705805</c:v>
                </c:pt>
                <c:pt idx="110">
                  <c:v>3.6870357317139169</c:v>
                </c:pt>
                <c:pt idx="111">
                  <c:v>3.3866263368261817</c:v>
                </c:pt>
                <c:pt idx="112">
                  <c:v>3.991416309012874</c:v>
                </c:pt>
                <c:pt idx="113">
                  <c:v>2.6276910088644856</c:v>
                </c:pt>
                <c:pt idx="114">
                  <c:v>1.809339538775312</c:v>
                </c:pt>
                <c:pt idx="115">
                  <c:v>1.9748184525364421</c:v>
                </c:pt>
                <c:pt idx="116">
                  <c:v>1.8056128765992607</c:v>
                </c:pt>
              </c:numCache>
            </c:numRef>
          </c:val>
          <c:smooth val="0"/>
          <c:extLst>
            <c:ext xmlns:c16="http://schemas.microsoft.com/office/drawing/2014/chart" uri="{C3380CC4-5D6E-409C-BE32-E72D297353CC}">
              <c16:uniqueId val="{00000001-ED74-440E-91B4-3B2B522F0D14}"/>
            </c:ext>
          </c:extLst>
        </c:ser>
        <c:ser>
          <c:idx val="1"/>
          <c:order val="1"/>
          <c:spPr>
            <a:ln w="28575" cap="rnd">
              <a:solidFill>
                <a:schemeClr val="accent2"/>
              </a:solidFill>
              <a:round/>
            </a:ln>
            <a:effectLst/>
          </c:spPr>
          <c:marker>
            <c:symbol val="none"/>
          </c:marker>
          <c:val>
            <c:numRef>
              <c:f>PIB!$D$6:$D$122</c:f>
              <c:numCache>
                <c:formatCode>General</c:formatCode>
                <c:ptCount val="117"/>
                <c:pt idx="0">
                  <c:v>3.2</c:v>
                </c:pt>
                <c:pt idx="1">
                  <c:v>4</c:v>
                </c:pt>
                <c:pt idx="2">
                  <c:v>3</c:v>
                </c:pt>
                <c:pt idx="3">
                  <c:v>3.4</c:v>
                </c:pt>
                <c:pt idx="4">
                  <c:v>2.8</c:v>
                </c:pt>
                <c:pt idx="5">
                  <c:v>2</c:v>
                </c:pt>
                <c:pt idx="6">
                  <c:v>1.6</c:v>
                </c:pt>
                <c:pt idx="7">
                  <c:v>0.3</c:v>
                </c:pt>
                <c:pt idx="8">
                  <c:v>0.3</c:v>
                </c:pt>
                <c:pt idx="9">
                  <c:v>-0.2</c:v>
                </c:pt>
                <c:pt idx="10">
                  <c:v>-0.4</c:v>
                </c:pt>
                <c:pt idx="11">
                  <c:v>0.5</c:v>
                </c:pt>
                <c:pt idx="12">
                  <c:v>1.3</c:v>
                </c:pt>
                <c:pt idx="13">
                  <c:v>2.4</c:v>
                </c:pt>
                <c:pt idx="14">
                  <c:v>3.8</c:v>
                </c:pt>
                <c:pt idx="15">
                  <c:v>4.4000000000000004</c:v>
                </c:pt>
                <c:pt idx="16">
                  <c:v>4.2</c:v>
                </c:pt>
                <c:pt idx="17">
                  <c:v>3.7</c:v>
                </c:pt>
                <c:pt idx="18">
                  <c:v>2.7</c:v>
                </c:pt>
                <c:pt idx="19">
                  <c:v>1.4</c:v>
                </c:pt>
                <c:pt idx="20">
                  <c:v>0.7</c:v>
                </c:pt>
                <c:pt idx="21">
                  <c:v>0.7</c:v>
                </c:pt>
                <c:pt idx="22">
                  <c:v>1.6</c:v>
                </c:pt>
                <c:pt idx="23">
                  <c:v>3.1</c:v>
                </c:pt>
                <c:pt idx="24">
                  <c:v>3.6</c:v>
                </c:pt>
                <c:pt idx="25">
                  <c:v>3.2</c:v>
                </c:pt>
                <c:pt idx="26">
                  <c:v>2.2999999999999998</c:v>
                </c:pt>
                <c:pt idx="27">
                  <c:v>1.1000000000000001</c:v>
                </c:pt>
                <c:pt idx="28">
                  <c:v>1.4</c:v>
                </c:pt>
                <c:pt idx="29">
                  <c:v>2.8</c:v>
                </c:pt>
                <c:pt idx="30">
                  <c:v>4.3</c:v>
                </c:pt>
                <c:pt idx="31">
                  <c:v>5.8</c:v>
                </c:pt>
                <c:pt idx="32">
                  <c:v>5.8</c:v>
                </c:pt>
                <c:pt idx="33">
                  <c:v>5.4</c:v>
                </c:pt>
                <c:pt idx="34">
                  <c:v>4.2</c:v>
                </c:pt>
                <c:pt idx="35">
                  <c:v>3.2</c:v>
                </c:pt>
                <c:pt idx="36">
                  <c:v>3.2</c:v>
                </c:pt>
                <c:pt idx="37">
                  <c:v>2.7</c:v>
                </c:pt>
                <c:pt idx="38">
                  <c:v>3.3</c:v>
                </c:pt>
                <c:pt idx="39">
                  <c:v>4</c:v>
                </c:pt>
                <c:pt idx="40">
                  <c:v>4.2</c:v>
                </c:pt>
                <c:pt idx="41">
                  <c:v>5.3</c:v>
                </c:pt>
                <c:pt idx="42">
                  <c:v>5.6</c:v>
                </c:pt>
                <c:pt idx="43">
                  <c:v>6.1</c:v>
                </c:pt>
                <c:pt idx="44">
                  <c:v>6.3</c:v>
                </c:pt>
                <c:pt idx="45">
                  <c:v>6.3</c:v>
                </c:pt>
                <c:pt idx="46">
                  <c:v>6.5</c:v>
                </c:pt>
                <c:pt idx="47">
                  <c:v>5.0999999999999996</c:v>
                </c:pt>
                <c:pt idx="48">
                  <c:v>3</c:v>
                </c:pt>
                <c:pt idx="49">
                  <c:v>0.8</c:v>
                </c:pt>
                <c:pt idx="50">
                  <c:v>-1.2</c:v>
                </c:pt>
                <c:pt idx="51">
                  <c:v>-0.1</c:v>
                </c:pt>
                <c:pt idx="52">
                  <c:v>2.6</c:v>
                </c:pt>
                <c:pt idx="53">
                  <c:v>5.3</c:v>
                </c:pt>
                <c:pt idx="54">
                  <c:v>7.5</c:v>
                </c:pt>
                <c:pt idx="55">
                  <c:v>7.5</c:v>
                </c:pt>
                <c:pt idx="56">
                  <c:v>6.6</c:v>
                </c:pt>
                <c:pt idx="57">
                  <c:v>5.6</c:v>
                </c:pt>
                <c:pt idx="58">
                  <c:v>4.8</c:v>
                </c:pt>
                <c:pt idx="59">
                  <c:v>4</c:v>
                </c:pt>
                <c:pt idx="60">
                  <c:v>3.1</c:v>
                </c:pt>
                <c:pt idx="61">
                  <c:v>2.2000000000000002</c:v>
                </c:pt>
                <c:pt idx="62">
                  <c:v>1.9</c:v>
                </c:pt>
                <c:pt idx="63">
                  <c:v>1.9</c:v>
                </c:pt>
                <c:pt idx="64">
                  <c:v>2.2000000000000002</c:v>
                </c:pt>
                <c:pt idx="65">
                  <c:v>2.9</c:v>
                </c:pt>
                <c:pt idx="66">
                  <c:v>3</c:v>
                </c:pt>
                <c:pt idx="67">
                  <c:v>3</c:v>
                </c:pt>
                <c:pt idx="68">
                  <c:v>3.2</c:v>
                </c:pt>
                <c:pt idx="69">
                  <c:v>2.1</c:v>
                </c:pt>
                <c:pt idx="70">
                  <c:v>1.2</c:v>
                </c:pt>
                <c:pt idx="71">
                  <c:v>0.5</c:v>
                </c:pt>
                <c:pt idx="72">
                  <c:v>-0.7</c:v>
                </c:pt>
                <c:pt idx="73">
                  <c:v>-1.3</c:v>
                </c:pt>
                <c:pt idx="74">
                  <c:v>-2.2000000000000002</c:v>
                </c:pt>
                <c:pt idx="75">
                  <c:v>-3.5</c:v>
                </c:pt>
                <c:pt idx="76">
                  <c:v>-4.4000000000000004</c:v>
                </c:pt>
                <c:pt idx="77">
                  <c:v>-4.5</c:v>
                </c:pt>
                <c:pt idx="78">
                  <c:v>-4.0999999999999996</c:v>
                </c:pt>
                <c:pt idx="79">
                  <c:v>-3.3</c:v>
                </c:pt>
                <c:pt idx="80">
                  <c:v>-1.9</c:v>
                </c:pt>
                <c:pt idx="81">
                  <c:v>-0.9</c:v>
                </c:pt>
                <c:pt idx="82">
                  <c:v>0.1</c:v>
                </c:pt>
                <c:pt idx="83">
                  <c:v>1.3</c:v>
                </c:pt>
                <c:pt idx="84">
                  <c:v>1.7</c:v>
                </c:pt>
                <c:pt idx="85">
                  <c:v>1.9</c:v>
                </c:pt>
                <c:pt idx="86">
                  <c:v>2</c:v>
                </c:pt>
                <c:pt idx="87">
                  <c:v>1.8</c:v>
                </c:pt>
                <c:pt idx="88">
                  <c:v>1.5</c:v>
                </c:pt>
                <c:pt idx="89">
                  <c:v>1.4</c:v>
                </c:pt>
                <c:pt idx="90">
                  <c:v>1.2</c:v>
                </c:pt>
                <c:pt idx="91">
                  <c:v>1.2</c:v>
                </c:pt>
                <c:pt idx="92">
                  <c:v>1.1000000000000001</c:v>
                </c:pt>
                <c:pt idx="93">
                  <c:v>-1.7</c:v>
                </c:pt>
                <c:pt idx="94">
                  <c:v>-2.8</c:v>
                </c:pt>
                <c:pt idx="95">
                  <c:v>-3.3</c:v>
                </c:pt>
                <c:pt idx="96">
                  <c:v>-2.9</c:v>
                </c:pt>
                <c:pt idx="97">
                  <c:v>2.4</c:v>
                </c:pt>
                <c:pt idx="98">
                  <c:v>4.3</c:v>
                </c:pt>
                <c:pt idx="99">
                  <c:v>4.8</c:v>
                </c:pt>
                <c:pt idx="100">
                  <c:v>4.7</c:v>
                </c:pt>
                <c:pt idx="101">
                  <c:v>2.7</c:v>
                </c:pt>
                <c:pt idx="102">
                  <c:v>2.7</c:v>
                </c:pt>
                <c:pt idx="103">
                  <c:v>3</c:v>
                </c:pt>
                <c:pt idx="104">
                  <c:v>3.8</c:v>
                </c:pt>
                <c:pt idx="105">
                  <c:v>3.8</c:v>
                </c:pt>
                <c:pt idx="106">
                  <c:v>3.3</c:v>
                </c:pt>
                <c:pt idx="107">
                  <c:v>3.2</c:v>
                </c:pt>
                <c:pt idx="108">
                  <c:v>2.8</c:v>
                </c:pt>
                <c:pt idx="109">
                  <c:v>2.7</c:v>
                </c:pt>
                <c:pt idx="110">
                  <c:v>3.1</c:v>
                </c:pt>
                <c:pt idx="111">
                  <c:v>3.4</c:v>
                </c:pt>
                <c:pt idx="112">
                  <c:v>3.6</c:v>
                </c:pt>
                <c:pt idx="113">
                  <c:v>3.3</c:v>
                </c:pt>
                <c:pt idx="114">
                  <c:v>2.7</c:v>
                </c:pt>
                <c:pt idx="115">
                  <c:v>2.2999999999999998</c:v>
                </c:pt>
                <c:pt idx="116">
                  <c:v>2</c:v>
                </c:pt>
              </c:numCache>
            </c:numRef>
          </c:val>
          <c:smooth val="0"/>
          <c:extLst>
            <c:ext xmlns:c16="http://schemas.microsoft.com/office/drawing/2014/chart" uri="{C3380CC4-5D6E-409C-BE32-E72D297353CC}">
              <c16:uniqueId val="{00000002-ED74-440E-91B4-3B2B522F0D14}"/>
            </c:ext>
          </c:extLst>
        </c:ser>
        <c:dLbls>
          <c:showLegendKey val="0"/>
          <c:showVal val="0"/>
          <c:showCatName val="0"/>
          <c:showSerName val="0"/>
          <c:showPercent val="0"/>
          <c:showBubbleSize val="0"/>
        </c:dLbls>
        <c:smooth val="0"/>
        <c:axId val="1983273408"/>
        <c:axId val="1912250736"/>
      </c:lineChart>
      <c:catAx>
        <c:axId val="198327340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12250736"/>
        <c:crosses val="autoZero"/>
        <c:auto val="1"/>
        <c:lblAlgn val="ctr"/>
        <c:lblOffset val="100"/>
        <c:noMultiLvlLbl val="0"/>
      </c:catAx>
      <c:valAx>
        <c:axId val="1912250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832734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Output in log deviations from linear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spPr>
            <a:ln w="28575" cap="rnd">
              <a:solidFill>
                <a:schemeClr val="accent1"/>
              </a:solidFill>
              <a:round/>
            </a:ln>
            <a:effectLst/>
          </c:spPr>
          <c:marker>
            <c:symbol val="none"/>
          </c:marker>
          <c:val>
            <c:numRef>
              <c:f>PIB!$G$2:$G$122</c:f>
              <c:numCache>
                <c:formatCode>General</c:formatCode>
                <c:ptCount val="121"/>
                <c:pt idx="0">
                  <c:v>-5.4735166461799878E-2</c:v>
                </c:pt>
                <c:pt idx="1">
                  <c:v>-4.8373709430625134E-2</c:v>
                </c:pt>
                <c:pt idx="2">
                  <c:v>-1.7696820818793313E-2</c:v>
                </c:pt>
                <c:pt idx="3">
                  <c:v>-3.2771175689443766E-2</c:v>
                </c:pt>
                <c:pt idx="4">
                  <c:v>-2.7623241836034929E-2</c:v>
                </c:pt>
                <c:pt idx="5">
                  <c:v>-2.8384859568082454E-2</c:v>
                </c:pt>
                <c:pt idx="6">
                  <c:v>-2.1233383763708424E-2</c:v>
                </c:pt>
                <c:pt idx="7">
                  <c:v>-1.8431452882313515E-2</c:v>
                </c:pt>
                <c:pt idx="8">
                  <c:v>-4.3951355974590101E-2</c:v>
                </c:pt>
                <c:pt idx="9">
                  <c:v>-3.2404692614384167E-2</c:v>
                </c:pt>
                <c:pt idx="10">
                  <c:v>-3.8317207688345789E-2</c:v>
                </c:pt>
                <c:pt idx="11">
                  <c:v>-5.5343181381936724E-2</c:v>
                </c:pt>
                <c:pt idx="12">
                  <c:v>-5.9083473972935785E-2</c:v>
                </c:pt>
                <c:pt idx="13">
                  <c:v>-5.9341519944986487E-2</c:v>
                </c:pt>
                <c:pt idx="14">
                  <c:v>-6.4879608355396634E-2</c:v>
                </c:pt>
                <c:pt idx="15">
                  <c:v>-5.6317832006832269E-2</c:v>
                </c:pt>
                <c:pt idx="16">
                  <c:v>-5.1432914097455651E-2</c:v>
                </c:pt>
                <c:pt idx="17">
                  <c:v>-4.2848404339953738E-2</c:v>
                </c:pt>
                <c:pt idx="18">
                  <c:v>-3.6693609033129349E-2</c:v>
                </c:pt>
                <c:pt idx="19">
                  <c:v>-3.0055392714554152E-2</c:v>
                </c:pt>
                <c:pt idx="20">
                  <c:v>-3.197811631223324E-2</c:v>
                </c:pt>
                <c:pt idx="21">
                  <c:v>-4.2280639357302086E-2</c:v>
                </c:pt>
                <c:pt idx="22">
                  <c:v>-5.3139304298935208E-2</c:v>
                </c:pt>
                <c:pt idx="23">
                  <c:v>-6.1437488838994803E-2</c:v>
                </c:pt>
                <c:pt idx="24">
                  <c:v>-4.249174745608908E-2</c:v>
                </c:pt>
                <c:pt idx="25">
                  <c:v>-4.5857150007678982E-2</c:v>
                </c:pt>
                <c:pt idx="26">
                  <c:v>-3.7515106962376699E-2</c:v>
                </c:pt>
                <c:pt idx="27">
                  <c:v>-3.2831641301248382E-2</c:v>
                </c:pt>
                <c:pt idx="28">
                  <c:v>-4.2871372341528158E-2</c:v>
                </c:pt>
                <c:pt idx="29">
                  <c:v>-5.6872858139357163E-2</c:v>
                </c:pt>
                <c:pt idx="30">
                  <c:v>-5.3011578024033668E-2</c:v>
                </c:pt>
                <c:pt idx="31">
                  <c:v>-4.8143040938355419E-2</c:v>
                </c:pt>
                <c:pt idx="32">
                  <c:v>-4.0055004205428624E-2</c:v>
                </c:pt>
                <c:pt idx="33">
                  <c:v>-1.840058996456051E-2</c:v>
                </c:pt>
                <c:pt idx="34">
                  <c:v>-1.125283984325165E-2</c:v>
                </c:pt>
                <c:pt idx="35">
                  <c:v>-9.1609436937449829E-3</c:v>
                </c:pt>
                <c:pt idx="36">
                  <c:v>-5.870344772257674E-3</c:v>
                </c:pt>
                <c:pt idx="37">
                  <c:v>-1.1022832465394927E-3</c:v>
                </c:pt>
                <c:pt idx="38">
                  <c:v>-1.2248736567561203E-2</c:v>
                </c:pt>
                <c:pt idx="39">
                  <c:v>-5.2119484184824927E-3</c:v>
                </c:pt>
                <c:pt idx="40">
                  <c:v>5.3947723192333541E-3</c:v>
                </c:pt>
                <c:pt idx="41">
                  <c:v>2.8124630890919988E-3</c:v>
                </c:pt>
                <c:pt idx="42">
                  <c:v>1.3860743138442544E-2</c:v>
                </c:pt>
                <c:pt idx="43">
                  <c:v>1.99407970302099E-2</c:v>
                </c:pt>
                <c:pt idx="44">
                  <c:v>3.3134352110749887E-2</c:v>
                </c:pt>
                <c:pt idx="45">
                  <c:v>4.4138586569656191E-2</c:v>
                </c:pt>
                <c:pt idx="46">
                  <c:v>4.8916423740673842E-2</c:v>
                </c:pt>
                <c:pt idx="47">
                  <c:v>5.8447687047929797E-2</c:v>
                </c:pt>
                <c:pt idx="48">
                  <c:v>6.5569737457289889E-2</c:v>
                </c:pt>
                <c:pt idx="49">
                  <c:v>7.9799419731092947E-2</c:v>
                </c:pt>
                <c:pt idx="50">
                  <c:v>9.0616991441799577E-2</c:v>
                </c:pt>
                <c:pt idx="51">
                  <c:v>4.6628138709277067E-2</c:v>
                </c:pt>
                <c:pt idx="52">
                  <c:v>2.6594041647194366E-2</c:v>
                </c:pt>
                <c:pt idx="53">
                  <c:v>3.9382335928691781E-2</c:v>
                </c:pt>
                <c:pt idx="54">
                  <c:v>5.6923752260579441E-2</c:v>
                </c:pt>
                <c:pt idx="55">
                  <c:v>7.6875238269218826E-2</c:v>
                </c:pt>
                <c:pt idx="56">
                  <c:v>9.1679016381837286E-2</c:v>
                </c:pt>
                <c:pt idx="57">
                  <c:v>9.8867854432832303E-2</c:v>
                </c:pt>
                <c:pt idx="58">
                  <c:v>0.10209955412519456</c:v>
                </c:pt>
                <c:pt idx="59">
                  <c:v>0.11074258704033646</c:v>
                </c:pt>
                <c:pt idx="60">
                  <c:v>0.11845943416494098</c:v>
                </c:pt>
                <c:pt idx="61">
                  <c:v>0.12306391036453945</c:v>
                </c:pt>
                <c:pt idx="62">
                  <c:v>0.11530085937173684</c:v>
                </c:pt>
                <c:pt idx="63">
                  <c:v>0.11875240359750805</c:v>
                </c:pt>
                <c:pt idx="64">
                  <c:v>9.8912905710831112E-2</c:v>
                </c:pt>
                <c:pt idx="65">
                  <c:v>0.11130902117181218</c:v>
                </c:pt>
                <c:pt idx="66">
                  <c:v>0.12274646712525961</c:v>
                </c:pt>
                <c:pt idx="67">
                  <c:v>0.11755898936531928</c:v>
                </c:pt>
                <c:pt idx="68">
                  <c:v>0.11743970518311198</c:v>
                </c:pt>
                <c:pt idx="69">
                  <c:v>0.12546486397044898</c:v>
                </c:pt>
                <c:pt idx="70">
                  <c:v>0.12473062787268407</c:v>
                </c:pt>
                <c:pt idx="71">
                  <c:v>0.12078870899509742</c:v>
                </c:pt>
                <c:pt idx="72">
                  <c:v>0.12358896550184184</c:v>
                </c:pt>
                <c:pt idx="73">
                  <c:v>0.10325518238428799</c:v>
                </c:pt>
                <c:pt idx="74">
                  <c:v>9.7143633698959064E-2</c:v>
                </c:pt>
                <c:pt idx="75">
                  <c:v>9.6811953479123858E-2</c:v>
                </c:pt>
                <c:pt idx="76">
                  <c:v>8.3252738071189825E-2</c:v>
                </c:pt>
                <c:pt idx="77">
                  <c:v>5.396498857827936E-2</c:v>
                </c:pt>
                <c:pt idx="78">
                  <c:v>3.179548807114152E-2</c:v>
                </c:pt>
                <c:pt idx="79">
                  <c:v>1.8561353979116291E-2</c:v>
                </c:pt>
                <c:pt idx="80">
                  <c:v>-1.3847164299702897E-3</c:v>
                </c:pt>
                <c:pt idx="81">
                  <c:v>-4.293235980729726E-3</c:v>
                </c:pt>
                <c:pt idx="82">
                  <c:v>-1.5158791753972167E-2</c:v>
                </c:pt>
                <c:pt idx="83">
                  <c:v>-2.1864135710827348E-2</c:v>
                </c:pt>
                <c:pt idx="84">
                  <c:v>-1.7128161145051557E-2</c:v>
                </c:pt>
                <c:pt idx="85">
                  <c:v>-1.4305098149773876E-2</c:v>
                </c:pt>
                <c:pt idx="86">
                  <c:v>-1.767346536183112E-2</c:v>
                </c:pt>
                <c:pt idx="87">
                  <c:v>-1.7807757974733995E-2</c:v>
                </c:pt>
                <c:pt idx="88">
                  <c:v>-1.7137612500717658E-2</c:v>
                </c:pt>
                <c:pt idx="89">
                  <c:v>-2.3926184892220981E-2</c:v>
                </c:pt>
                <c:pt idx="90">
                  <c:v>-1.991695376962177E-2</c:v>
                </c:pt>
                <c:pt idx="91">
                  <c:v>-2.79368729167917E-2</c:v>
                </c:pt>
                <c:pt idx="92">
                  <c:v>-3.058009031314235E-2</c:v>
                </c:pt>
                <c:pt idx="93">
                  <c:v>-3.0294804130375219E-2</c:v>
                </c:pt>
                <c:pt idx="94">
                  <c:v>-3.5598315950453596E-2</c:v>
                </c:pt>
                <c:pt idx="95">
                  <c:v>-3.2379269759230667E-2</c:v>
                </c:pt>
                <c:pt idx="96">
                  <c:v>-6.1144815839873523E-2</c:v>
                </c:pt>
                <c:pt idx="97">
                  <c:v>-0.15963403881912264</c:v>
                </c:pt>
                <c:pt idx="98">
                  <c:v>-8.8898043841074248E-2</c:v>
                </c:pt>
                <c:pt idx="99">
                  <c:v>-5.6801111412704053E-2</c:v>
                </c:pt>
                <c:pt idx="100">
                  <c:v>-5.3638448878383649E-2</c:v>
                </c:pt>
                <c:pt idx="101">
                  <c:v>-6.6189229390926307E-2</c:v>
                </c:pt>
                <c:pt idx="102">
                  <c:v>-7.0216304554003628E-2</c:v>
                </c:pt>
                <c:pt idx="103">
                  <c:v>-6.2486243315561296E-2</c:v>
                </c:pt>
                <c:pt idx="104">
                  <c:v>-6.1171078175402016E-2</c:v>
                </c:pt>
                <c:pt idx="105">
                  <c:v>-5.5390426618256328E-2</c:v>
                </c:pt>
                <c:pt idx="106">
                  <c:v>-5.0404459096609955E-2</c:v>
                </c:pt>
                <c:pt idx="107">
                  <c:v>-5.1663931250133466E-2</c:v>
                </c:pt>
                <c:pt idx="108">
                  <c:v>-4.387289524373994E-2</c:v>
                </c:pt>
                <c:pt idx="109">
                  <c:v>-4.1671681889489776E-2</c:v>
                </c:pt>
                <c:pt idx="110">
                  <c:v>-4.5907616136195983E-2</c:v>
                </c:pt>
                <c:pt idx="111">
                  <c:v>-4.7603396602254655E-2</c:v>
                </c:pt>
                <c:pt idx="112">
                  <c:v>-4.6358878400239334E-2</c:v>
                </c:pt>
                <c:pt idx="113">
                  <c:v>-3.5297309211609118E-2</c:v>
                </c:pt>
                <c:pt idx="114">
                  <c:v>-3.1853065397666747E-2</c:v>
                </c:pt>
                <c:pt idx="115">
                  <c:v>-3.6450321624940329E-2</c:v>
                </c:pt>
                <c:pt idx="116">
                  <c:v>-2.9373057785097245E-2</c:v>
                </c:pt>
                <c:pt idx="117">
                  <c:v>-3.151205964527648E-2</c:v>
                </c:pt>
                <c:pt idx="118">
                  <c:v>-3.6073761123367909E-2</c:v>
                </c:pt>
                <c:pt idx="119">
                  <c:v>-3.9046956366076913E-2</c:v>
                </c:pt>
                <c:pt idx="120">
                  <c:v>-3.363035850598628E-2</c:v>
                </c:pt>
              </c:numCache>
            </c:numRef>
          </c:val>
          <c:smooth val="0"/>
          <c:extLst>
            <c:ext xmlns:c16="http://schemas.microsoft.com/office/drawing/2014/chart" uri="{C3380CC4-5D6E-409C-BE32-E72D297353CC}">
              <c16:uniqueId val="{00000000-D5A5-42FD-B09F-C4D66EA9E07D}"/>
            </c:ext>
          </c:extLst>
        </c:ser>
        <c:ser>
          <c:idx val="1"/>
          <c:order val="1"/>
          <c:tx>
            <c:v>original</c:v>
          </c:tx>
          <c:spPr>
            <a:ln w="28575" cap="rnd">
              <a:solidFill>
                <a:schemeClr val="accent2"/>
              </a:solidFill>
              <a:round/>
            </a:ln>
            <a:effectLst/>
          </c:spPr>
          <c:marker>
            <c:symbol val="none"/>
          </c:marker>
          <c:val>
            <c:numRef>
              <c:f>PIB!$H$2:$H$25</c:f>
              <c:numCache>
                <c:formatCode>General</c:formatCode>
                <c:ptCount val="24"/>
                <c:pt idx="0">
                  <c:v>-1.1225600000000001E-2</c:v>
                </c:pt>
                <c:pt idx="1">
                  <c:v>-1.7872000000000001E-3</c:v>
                </c:pt>
                <c:pt idx="2">
                  <c:v>2.66512E-2</c:v>
                </c:pt>
                <c:pt idx="3">
                  <c:v>1.9089600000000002E-2</c:v>
                </c:pt>
                <c:pt idx="4">
                  <c:v>1.2527999999999999E-2</c:v>
                </c:pt>
                <c:pt idx="5">
                  <c:v>1.9966500000000002E-2</c:v>
                </c:pt>
                <c:pt idx="6">
                  <c:v>2.44049E-2</c:v>
                </c:pt>
                <c:pt idx="7">
                  <c:v>1.88433E-2</c:v>
                </c:pt>
                <c:pt idx="8">
                  <c:v>-1.7183000000000001E-3</c:v>
                </c:pt>
                <c:pt idx="9">
                  <c:v>1.1720100000000001E-2</c:v>
                </c:pt>
                <c:pt idx="10">
                  <c:v>4.1584999999999999E-3</c:v>
                </c:pt>
                <c:pt idx="11">
                  <c:v>-2.1402999999999998E-2</c:v>
                </c:pt>
                <c:pt idx="12">
                  <c:v>-1.8964600000000002E-2</c:v>
                </c:pt>
                <c:pt idx="13">
                  <c:v>-1.7526199999999999E-2</c:v>
                </c:pt>
                <c:pt idx="14">
                  <c:v>-2.0087799999999999E-2</c:v>
                </c:pt>
                <c:pt idx="15">
                  <c:v>-7.6493999999999998E-3</c:v>
                </c:pt>
                <c:pt idx="16">
                  <c:v>7.7889999999999999E-3</c:v>
                </c:pt>
                <c:pt idx="17">
                  <c:v>2.2274999999999999E-3</c:v>
                </c:pt>
                <c:pt idx="18">
                  <c:v>-3.3409999999999999E-4</c:v>
                </c:pt>
                <c:pt idx="19">
                  <c:v>8.1043E-3</c:v>
                </c:pt>
                <c:pt idx="20">
                  <c:v>2.6542699999999999E-2</c:v>
                </c:pt>
                <c:pt idx="21">
                  <c:v>-1.0189000000000001E-3</c:v>
                </c:pt>
                <c:pt idx="22">
                  <c:v>-1.5580500000000001E-2</c:v>
                </c:pt>
                <c:pt idx="23">
                  <c:v>-2.1142000000000001E-2</c:v>
                </c:pt>
              </c:numCache>
            </c:numRef>
          </c:val>
          <c:smooth val="0"/>
          <c:extLst>
            <c:ext xmlns:c16="http://schemas.microsoft.com/office/drawing/2014/chart" uri="{C3380CC4-5D6E-409C-BE32-E72D297353CC}">
              <c16:uniqueId val="{00000001-D5A5-42FD-B09F-C4D66EA9E07D}"/>
            </c:ext>
          </c:extLst>
        </c:ser>
        <c:dLbls>
          <c:showLegendKey val="0"/>
          <c:showVal val="0"/>
          <c:showCatName val="0"/>
          <c:showSerName val="0"/>
          <c:showPercent val="0"/>
          <c:showBubbleSize val="0"/>
        </c:dLbls>
        <c:smooth val="0"/>
        <c:axId val="450688943"/>
        <c:axId val="1912265136"/>
      </c:lineChart>
      <c:catAx>
        <c:axId val="45068894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12265136"/>
        <c:crosses val="autoZero"/>
        <c:auto val="1"/>
        <c:lblAlgn val="ctr"/>
        <c:lblOffset val="100"/>
        <c:noMultiLvlLbl val="0"/>
      </c:catAx>
      <c:valAx>
        <c:axId val="1912265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506889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spPr>
            <a:ln w="28575" cap="rnd">
              <a:solidFill>
                <a:schemeClr val="accent1"/>
              </a:solidFill>
              <a:round/>
            </a:ln>
            <a:effectLst/>
          </c:spPr>
          <c:marker>
            <c:symbol val="none"/>
          </c:marker>
          <c:val>
            <c:numRef>
              <c:f>INV!$G$2:$G$122</c:f>
              <c:numCache>
                <c:formatCode>General</c:formatCode>
                <c:ptCount val="121"/>
                <c:pt idx="0">
                  <c:v>-5.1711440986014878E-2</c:v>
                </c:pt>
                <c:pt idx="1">
                  <c:v>-3.7742761330489927E-2</c:v>
                </c:pt>
                <c:pt idx="2">
                  <c:v>-6.1021023773530914E-3</c:v>
                </c:pt>
                <c:pt idx="3">
                  <c:v>3.0526729902928373E-2</c:v>
                </c:pt>
                <c:pt idx="4">
                  <c:v>3.3762506022892325E-2</c:v>
                </c:pt>
                <c:pt idx="5">
                  <c:v>4.2622256732866681E-2</c:v>
                </c:pt>
                <c:pt idx="6">
                  <c:v>5.6872329473010019E-2</c:v>
                </c:pt>
                <c:pt idx="7">
                  <c:v>4.5136800927398468E-2</c:v>
                </c:pt>
                <c:pt idx="8">
                  <c:v>4.5389159139573643E-2</c:v>
                </c:pt>
                <c:pt idx="9">
                  <c:v>4.3911651964696929E-2</c:v>
                </c:pt>
                <c:pt idx="10">
                  <c:v>2.5769351944567198E-2</c:v>
                </c:pt>
                <c:pt idx="11">
                  <c:v>-2.545009050175473E-2</c:v>
                </c:pt>
                <c:pt idx="12">
                  <c:v>-6.6897745217837645E-2</c:v>
                </c:pt>
                <c:pt idx="13">
                  <c:v>-8.4350835176467243E-2</c:v>
                </c:pt>
                <c:pt idx="14">
                  <c:v>-0.1131314276443165</c:v>
                </c:pt>
                <c:pt idx="15">
                  <c:v>-9.8263933367024769E-2</c:v>
                </c:pt>
                <c:pt idx="16">
                  <c:v>-9.623787118023408E-2</c:v>
                </c:pt>
                <c:pt idx="17">
                  <c:v>-6.1540089368948614E-2</c:v>
                </c:pt>
                <c:pt idx="18">
                  <c:v>-6.650649585881574E-2</c:v>
                </c:pt>
                <c:pt idx="19">
                  <c:v>-3.6381619026805367E-2</c:v>
                </c:pt>
                <c:pt idx="20">
                  <c:v>-2.4353999299848716E-2</c:v>
                </c:pt>
                <c:pt idx="21">
                  <c:v>-5.5494087351409149E-2</c:v>
                </c:pt>
                <c:pt idx="22">
                  <c:v>-7.489065051379562E-2</c:v>
                </c:pt>
                <c:pt idx="23">
                  <c:v>-0.13762284119731305</c:v>
                </c:pt>
                <c:pt idx="24">
                  <c:v>-0.13076007661759093</c:v>
                </c:pt>
                <c:pt idx="25">
                  <c:v>-0.11288087747007225</c:v>
                </c:pt>
                <c:pt idx="26">
                  <c:v>-0.10252671480811948</c:v>
                </c:pt>
                <c:pt idx="27">
                  <c:v>-8.6624814090050961E-2</c:v>
                </c:pt>
                <c:pt idx="28">
                  <c:v>-0.12181284609155707</c:v>
                </c:pt>
                <c:pt idx="29">
                  <c:v>-0.1991112178688299</c:v>
                </c:pt>
                <c:pt idx="30">
                  <c:v>-0.19759341513952577</c:v>
                </c:pt>
                <c:pt idx="31">
                  <c:v>-0.15869969572205633</c:v>
                </c:pt>
                <c:pt idx="32">
                  <c:v>-0.13233190198565215</c:v>
                </c:pt>
                <c:pt idx="33">
                  <c:v>-0.10389469931270678</c:v>
                </c:pt>
                <c:pt idx="34">
                  <c:v>-8.8974251480591349E-2</c:v>
                </c:pt>
                <c:pt idx="35">
                  <c:v>-0.11091137626393355</c:v>
                </c:pt>
                <c:pt idx="36">
                  <c:v>-0.13592999034803643</c:v>
                </c:pt>
                <c:pt idx="37">
                  <c:v>-9.3622135588977251E-2</c:v>
                </c:pt>
                <c:pt idx="38">
                  <c:v>-0.10431135942604719</c:v>
                </c:pt>
                <c:pt idx="39">
                  <c:v>-0.1079489810647658</c:v>
                </c:pt>
                <c:pt idx="40">
                  <c:v>-6.778501215060917E-2</c:v>
                </c:pt>
                <c:pt idx="41">
                  <c:v>-7.7220357233847459E-2</c:v>
                </c:pt>
                <c:pt idx="42">
                  <c:v>-7.2990467551113269E-2</c:v>
                </c:pt>
                <c:pt idx="43">
                  <c:v>-4.7698050227360511E-2</c:v>
                </c:pt>
                <c:pt idx="44">
                  <c:v>-1.4782601940475537E-2</c:v>
                </c:pt>
                <c:pt idx="45">
                  <c:v>2.1998074041561289E-2</c:v>
                </c:pt>
                <c:pt idx="46">
                  <c:v>3.5900302573265819E-2</c:v>
                </c:pt>
                <c:pt idx="47">
                  <c:v>5.6452348943342834E-2</c:v>
                </c:pt>
                <c:pt idx="48">
                  <c:v>8.1594824311117975E-2</c:v>
                </c:pt>
                <c:pt idx="49">
                  <c:v>0.13268205693470225</c:v>
                </c:pt>
                <c:pt idx="50">
                  <c:v>0.17786033297286785</c:v>
                </c:pt>
                <c:pt idx="51">
                  <c:v>8.6100796059099594E-2</c:v>
                </c:pt>
                <c:pt idx="52">
                  <c:v>-3.6018735594724127E-2</c:v>
                </c:pt>
                <c:pt idx="53">
                  <c:v>2.7904793316586129E-2</c:v>
                </c:pt>
                <c:pt idx="54">
                  <c:v>0.11671769392610631</c:v>
                </c:pt>
                <c:pt idx="55">
                  <c:v>0.18501226348498356</c:v>
                </c:pt>
                <c:pt idx="56">
                  <c:v>0.19918202589538758</c:v>
                </c:pt>
                <c:pt idx="57">
                  <c:v>0.21404789282254999</c:v>
                </c:pt>
                <c:pt idx="58">
                  <c:v>0.23910949260531211</c:v>
                </c:pt>
                <c:pt idx="59">
                  <c:v>0.23920469857152415</c:v>
                </c:pt>
                <c:pt idx="60">
                  <c:v>0.25584540578713</c:v>
                </c:pt>
                <c:pt idx="61">
                  <c:v>0.27060201319944799</c:v>
                </c:pt>
                <c:pt idx="62">
                  <c:v>0.27755079181897013</c:v>
                </c:pt>
                <c:pt idx="63">
                  <c:v>0.27287887367587071</c:v>
                </c:pt>
                <c:pt idx="64">
                  <c:v>0.26220491757876907</c:v>
                </c:pt>
                <c:pt idx="65">
                  <c:v>0.25964726652163694</c:v>
                </c:pt>
                <c:pt idx="66">
                  <c:v>0.24585198259811047</c:v>
                </c:pt>
                <c:pt idx="67">
                  <c:v>0.25998565367995052</c:v>
                </c:pt>
                <c:pt idx="68">
                  <c:v>0.26632197475690855</c:v>
                </c:pt>
                <c:pt idx="69">
                  <c:v>0.31898112661928746</c:v>
                </c:pt>
                <c:pt idx="70">
                  <c:v>0.29974318981852122</c:v>
                </c:pt>
                <c:pt idx="71">
                  <c:v>0.28425196997279034</c:v>
                </c:pt>
                <c:pt idx="72">
                  <c:v>0.28246600173781733</c:v>
                </c:pt>
                <c:pt idx="73">
                  <c:v>0.23240699057648406</c:v>
                </c:pt>
                <c:pt idx="74">
                  <c:v>0.20360982249803072</c:v>
                </c:pt>
                <c:pt idx="75">
                  <c:v>0.19653902274304169</c:v>
                </c:pt>
                <c:pt idx="76">
                  <c:v>0.16037220102108574</c:v>
                </c:pt>
                <c:pt idx="77">
                  <c:v>8.3262315277414345E-2</c:v>
                </c:pt>
                <c:pt idx="78">
                  <c:v>2.0364722188698892E-2</c:v>
                </c:pt>
                <c:pt idx="79">
                  <c:v>-3.9467021449831385E-2</c:v>
                </c:pt>
                <c:pt idx="80">
                  <c:v>-6.7623456688732375E-2</c:v>
                </c:pt>
                <c:pt idx="81">
                  <c:v>-4.7883351771418781E-2</c:v>
                </c:pt>
                <c:pt idx="82">
                  <c:v>-0.11558519305196491</c:v>
                </c:pt>
                <c:pt idx="83">
                  <c:v>-0.1396701903193831</c:v>
                </c:pt>
                <c:pt idx="84">
                  <c:v>-0.14115979253623046</c:v>
                </c:pt>
                <c:pt idx="85">
                  <c:v>-0.14653693094084197</c:v>
                </c:pt>
                <c:pt idx="86">
                  <c:v>-0.14767434518758016</c:v>
                </c:pt>
                <c:pt idx="87">
                  <c:v>-0.12230110107709447</c:v>
                </c:pt>
                <c:pt idx="88">
                  <c:v>-0.12823711596324294</c:v>
                </c:pt>
                <c:pt idx="89">
                  <c:v>-0.12676080510102228</c:v>
                </c:pt>
                <c:pt idx="90">
                  <c:v>-8.0375287525897399E-2</c:v>
                </c:pt>
                <c:pt idx="91">
                  <c:v>-0.10319055924523202</c:v>
                </c:pt>
                <c:pt idx="92">
                  <c:v>-0.1200432457739522</c:v>
                </c:pt>
                <c:pt idx="93">
                  <c:v>-7.4433816206248338E-2</c:v>
                </c:pt>
                <c:pt idx="94">
                  <c:v>-5.237080002711636E-2</c:v>
                </c:pt>
                <c:pt idx="95">
                  <c:v>-0.11643623907723732</c:v>
                </c:pt>
                <c:pt idx="96">
                  <c:v>-7.3305035809794639E-2</c:v>
                </c:pt>
                <c:pt idx="97">
                  <c:v>-0.25145091988287227</c:v>
                </c:pt>
                <c:pt idx="98">
                  <c:v>-0.16351794352127236</c:v>
                </c:pt>
                <c:pt idx="99">
                  <c:v>-3.9341229754341178E-2</c:v>
                </c:pt>
                <c:pt idx="100">
                  <c:v>1.6352759466490063E-2</c:v>
                </c:pt>
                <c:pt idx="101">
                  <c:v>-3.718599593782379E-2</c:v>
                </c:pt>
                <c:pt idx="102">
                  <c:v>-4.3553217771637343E-2</c:v>
                </c:pt>
                <c:pt idx="103">
                  <c:v>-4.3157777199485103E-2</c:v>
                </c:pt>
                <c:pt idx="104">
                  <c:v>-6.6537302442388757E-2</c:v>
                </c:pt>
                <c:pt idx="105">
                  <c:v>-3.8893062449899318E-2</c:v>
                </c:pt>
                <c:pt idx="106">
                  <c:v>-1.3728337989486583E-2</c:v>
                </c:pt>
                <c:pt idx="107">
                  <c:v>-3.0753127071702302E-2</c:v>
                </c:pt>
                <c:pt idx="108">
                  <c:v>-7.3469495862773293E-2</c:v>
                </c:pt>
                <c:pt idx="109">
                  <c:v>-7.5909795709364403E-2</c:v>
                </c:pt>
                <c:pt idx="110">
                  <c:v>-0.10665720636985832</c:v>
                </c:pt>
                <c:pt idx="111">
                  <c:v>-9.3547625585784111E-2</c:v>
                </c:pt>
                <c:pt idx="112">
                  <c:v>-6.9257735378479346E-2</c:v>
                </c:pt>
                <c:pt idx="113">
                  <c:v>-4.6440923284349012E-2</c:v>
                </c:pt>
                <c:pt idx="114">
                  <c:v>-3.1836227703012199E-2</c:v>
                </c:pt>
                <c:pt idx="115">
                  <c:v>-2.1925584193357217E-2</c:v>
                </c:pt>
                <c:pt idx="116">
                  <c:v>-4.6274074480443517E-3</c:v>
                </c:pt>
                <c:pt idx="117">
                  <c:v>-2.7929411399543191E-2</c:v>
                </c:pt>
                <c:pt idx="118">
                  <c:v>-3.0773189909403698E-2</c:v>
                </c:pt>
                <c:pt idx="119">
                  <c:v>-7.0868687975097266E-2</c:v>
                </c:pt>
                <c:pt idx="120">
                  <c:v>-4.1473323134777473E-2</c:v>
                </c:pt>
              </c:numCache>
            </c:numRef>
          </c:val>
          <c:smooth val="0"/>
          <c:extLst>
            <c:ext xmlns:c16="http://schemas.microsoft.com/office/drawing/2014/chart" uri="{C3380CC4-5D6E-409C-BE32-E72D297353CC}">
              <c16:uniqueId val="{00000000-5380-409F-963B-75AADA1E2A01}"/>
            </c:ext>
          </c:extLst>
        </c:ser>
        <c:ser>
          <c:idx val="1"/>
          <c:order val="1"/>
          <c:spPr>
            <a:ln w="28575" cap="rnd">
              <a:solidFill>
                <a:schemeClr val="accent2"/>
              </a:solidFill>
              <a:round/>
            </a:ln>
            <a:effectLst/>
          </c:spPr>
          <c:marker>
            <c:symbol val="none"/>
          </c:marker>
          <c:val>
            <c:numRef>
              <c:f>INV!$H$2:$H$122</c:f>
              <c:numCache>
                <c:formatCode>General</c:formatCode>
                <c:ptCount val="121"/>
                <c:pt idx="0">
                  <c:v>-8.9412800000000001E-2</c:v>
                </c:pt>
                <c:pt idx="1">
                  <c:v>-6.0916100000000001E-2</c:v>
                </c:pt>
                <c:pt idx="2">
                  <c:v>-1.2419400000000001E-2</c:v>
                </c:pt>
                <c:pt idx="3">
                  <c:v>3.0772999999999998E-3</c:v>
                </c:pt>
                <c:pt idx="4">
                  <c:v>3.5739999999999999E-3</c:v>
                </c:pt>
                <c:pt idx="5">
                  <c:v>2.5070700000000001E-2</c:v>
                </c:pt>
                <c:pt idx="6">
                  <c:v>3.7567400000000001E-2</c:v>
                </c:pt>
                <c:pt idx="7">
                  <c:v>-6.9359000000000001E-3</c:v>
                </c:pt>
                <c:pt idx="8">
                  <c:v>2.5609000000000001E-3</c:v>
                </c:pt>
                <c:pt idx="9">
                  <c:v>5.0575999999999998E-3</c:v>
                </c:pt>
                <c:pt idx="10">
                  <c:v>4.5542999999999998E-3</c:v>
                </c:pt>
                <c:pt idx="11">
                  <c:v>-2.6949000000000001E-2</c:v>
                </c:pt>
                <c:pt idx="12">
                  <c:v>-5.94523E-2</c:v>
                </c:pt>
                <c:pt idx="13">
                  <c:v>-5.3955599999999999E-2</c:v>
                </c:pt>
                <c:pt idx="14">
                  <c:v>-2.7458900000000001E-2</c:v>
                </c:pt>
                <c:pt idx="15">
                  <c:v>-1.9621999999999999E-3</c:v>
                </c:pt>
                <c:pt idx="16">
                  <c:v>8.0534499999999995E-2</c:v>
                </c:pt>
                <c:pt idx="17">
                  <c:v>-9.9687999999999999E-3</c:v>
                </c:pt>
                <c:pt idx="18">
                  <c:v>-4.1472099999999998E-2</c:v>
                </c:pt>
                <c:pt idx="19">
                  <c:v>3.3024600000000001E-2</c:v>
                </c:pt>
                <c:pt idx="20">
                  <c:v>5.7521299999999997E-2</c:v>
                </c:pt>
                <c:pt idx="21">
                  <c:v>4.2018E-2</c:v>
                </c:pt>
                <c:pt idx="22">
                  <c:v>-4.8529999999999998E-4</c:v>
                </c:pt>
                <c:pt idx="23">
                  <c:v>-2.1988600000000001E-2</c:v>
                </c:pt>
              </c:numCache>
            </c:numRef>
          </c:val>
          <c:smooth val="0"/>
          <c:extLst>
            <c:ext xmlns:c16="http://schemas.microsoft.com/office/drawing/2014/chart" uri="{C3380CC4-5D6E-409C-BE32-E72D297353CC}">
              <c16:uniqueId val="{00000001-5380-409F-963B-75AADA1E2A01}"/>
            </c:ext>
          </c:extLst>
        </c:ser>
        <c:dLbls>
          <c:showLegendKey val="0"/>
          <c:showVal val="0"/>
          <c:showCatName val="0"/>
          <c:showSerName val="0"/>
          <c:showPercent val="0"/>
          <c:showBubbleSize val="0"/>
        </c:dLbls>
        <c:smooth val="0"/>
        <c:axId val="450701935"/>
        <c:axId val="1912262256"/>
      </c:lineChart>
      <c:catAx>
        <c:axId val="45070193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12262256"/>
        <c:crosses val="autoZero"/>
        <c:auto val="1"/>
        <c:lblAlgn val="ctr"/>
        <c:lblOffset val="100"/>
        <c:noMultiLvlLbl val="0"/>
      </c:catAx>
      <c:valAx>
        <c:axId val="1912262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507019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spPr>
            <a:ln w="28575" cap="rnd">
              <a:solidFill>
                <a:schemeClr val="accent1"/>
              </a:solidFill>
              <a:round/>
            </a:ln>
            <a:effectLst/>
          </c:spPr>
          <c:marker>
            <c:symbol val="none"/>
          </c:marker>
          <c:val>
            <c:numRef>
              <c:f>INV!$H$2:$H$25</c:f>
              <c:numCache>
                <c:formatCode>General</c:formatCode>
                <c:ptCount val="24"/>
                <c:pt idx="0">
                  <c:v>-8.9412800000000001E-2</c:v>
                </c:pt>
                <c:pt idx="1">
                  <c:v>-6.0916100000000001E-2</c:v>
                </c:pt>
                <c:pt idx="2">
                  <c:v>-1.2419400000000001E-2</c:v>
                </c:pt>
                <c:pt idx="3">
                  <c:v>3.0772999999999998E-3</c:v>
                </c:pt>
                <c:pt idx="4">
                  <c:v>3.5739999999999999E-3</c:v>
                </c:pt>
                <c:pt idx="5">
                  <c:v>2.5070700000000001E-2</c:v>
                </c:pt>
                <c:pt idx="6">
                  <c:v>3.7567400000000001E-2</c:v>
                </c:pt>
                <c:pt idx="7">
                  <c:v>-6.9359000000000001E-3</c:v>
                </c:pt>
                <c:pt idx="8">
                  <c:v>2.5609000000000001E-3</c:v>
                </c:pt>
                <c:pt idx="9">
                  <c:v>5.0575999999999998E-3</c:v>
                </c:pt>
                <c:pt idx="10">
                  <c:v>4.5542999999999998E-3</c:v>
                </c:pt>
                <c:pt idx="11">
                  <c:v>-2.6949000000000001E-2</c:v>
                </c:pt>
                <c:pt idx="12">
                  <c:v>-5.94523E-2</c:v>
                </c:pt>
                <c:pt idx="13">
                  <c:v>-5.3955599999999999E-2</c:v>
                </c:pt>
                <c:pt idx="14">
                  <c:v>-2.7458900000000001E-2</c:v>
                </c:pt>
                <c:pt idx="15">
                  <c:v>-1.9621999999999999E-3</c:v>
                </c:pt>
                <c:pt idx="16">
                  <c:v>8.0534499999999995E-2</c:v>
                </c:pt>
                <c:pt idx="17">
                  <c:v>-9.9687999999999999E-3</c:v>
                </c:pt>
                <c:pt idx="18">
                  <c:v>-4.1472099999999998E-2</c:v>
                </c:pt>
                <c:pt idx="19">
                  <c:v>3.3024600000000001E-2</c:v>
                </c:pt>
                <c:pt idx="20">
                  <c:v>5.7521299999999997E-2</c:v>
                </c:pt>
                <c:pt idx="21">
                  <c:v>4.2018E-2</c:v>
                </c:pt>
                <c:pt idx="22">
                  <c:v>-4.8529999999999998E-4</c:v>
                </c:pt>
                <c:pt idx="23">
                  <c:v>-2.1988600000000001E-2</c:v>
                </c:pt>
              </c:numCache>
            </c:numRef>
          </c:val>
          <c:smooth val="0"/>
          <c:extLst>
            <c:ext xmlns:c16="http://schemas.microsoft.com/office/drawing/2014/chart" uri="{C3380CC4-5D6E-409C-BE32-E72D297353CC}">
              <c16:uniqueId val="{00000000-1C16-4CC6-9AF5-22D72FF34727}"/>
            </c:ext>
          </c:extLst>
        </c:ser>
        <c:ser>
          <c:idx val="1"/>
          <c:order val="1"/>
          <c:spPr>
            <a:ln w="28575" cap="rnd">
              <a:solidFill>
                <a:schemeClr val="accent2"/>
              </a:solidFill>
              <a:round/>
            </a:ln>
            <a:effectLst/>
          </c:spPr>
          <c:marker>
            <c:symbol val="none"/>
          </c:marker>
          <c:val>
            <c:numRef>
              <c:f>INV!$J$2:$J$25</c:f>
              <c:numCache>
                <c:formatCode>General</c:formatCode>
                <c:ptCount val="24"/>
                <c:pt idx="0">
                  <c:v>-8.1195278637252066E-2</c:v>
                </c:pt>
                <c:pt idx="1">
                  <c:v>-6.2080586996509091E-2</c:v>
                </c:pt>
                <c:pt idx="2">
                  <c:v>-2.5293916058154231E-2</c:v>
                </c:pt>
                <c:pt idx="3">
                  <c:v>1.6480928207345258E-2</c:v>
                </c:pt>
                <c:pt idx="4">
                  <c:v>2.4862716312527233E-2</c:v>
                </c:pt>
                <c:pt idx="5">
                  <c:v>3.8868479007719614E-2</c:v>
                </c:pt>
                <c:pt idx="6">
                  <c:v>5.8264563733081864E-2</c:v>
                </c:pt>
                <c:pt idx="7">
                  <c:v>5.1675047172687449E-2</c:v>
                </c:pt>
                <c:pt idx="8">
                  <c:v>5.7073417370080648E-2</c:v>
                </c:pt>
                <c:pt idx="9">
                  <c:v>6.0741922180422847E-2</c:v>
                </c:pt>
                <c:pt idx="10">
                  <c:v>4.7745634145510252E-2</c:v>
                </c:pt>
                <c:pt idx="11">
                  <c:v>1.6722036844063481E-3</c:v>
                </c:pt>
                <c:pt idx="12">
                  <c:v>-3.4629439046457655E-2</c:v>
                </c:pt>
                <c:pt idx="13">
                  <c:v>-4.6936517019870116E-2</c:v>
                </c:pt>
                <c:pt idx="14">
                  <c:v>-7.0571097502500457E-2</c:v>
                </c:pt>
                <c:pt idx="15">
                  <c:v>-5.0557591239990707E-2</c:v>
                </c:pt>
                <c:pt idx="16">
                  <c:v>-4.3385517067981993E-2</c:v>
                </c:pt>
                <c:pt idx="17">
                  <c:v>-3.541723271478503E-3</c:v>
                </c:pt>
                <c:pt idx="18">
                  <c:v>-3.3621177761276044E-3</c:v>
                </c:pt>
                <c:pt idx="19">
                  <c:v>3.1908771041100792E-2</c:v>
                </c:pt>
                <c:pt idx="20">
                  <c:v>4.9082402753275467E-2</c:v>
                </c:pt>
                <c:pt idx="21">
                  <c:v>2.3088326686933058E-2</c:v>
                </c:pt>
                <c:pt idx="22">
                  <c:v>8.8377755097654997E-3</c:v>
                </c:pt>
                <c:pt idx="23">
                  <c:v>-4.8748403188534795E-2</c:v>
                </c:pt>
              </c:numCache>
            </c:numRef>
          </c:val>
          <c:smooth val="0"/>
          <c:extLst>
            <c:ext xmlns:c16="http://schemas.microsoft.com/office/drawing/2014/chart" uri="{C3380CC4-5D6E-409C-BE32-E72D297353CC}">
              <c16:uniqueId val="{00000001-1C16-4CC6-9AF5-22D72FF34727}"/>
            </c:ext>
          </c:extLst>
        </c:ser>
        <c:dLbls>
          <c:showLegendKey val="0"/>
          <c:showVal val="0"/>
          <c:showCatName val="0"/>
          <c:showSerName val="0"/>
          <c:showPercent val="0"/>
          <c:showBubbleSize val="0"/>
        </c:dLbls>
        <c:smooth val="0"/>
        <c:axId val="513821711"/>
        <c:axId val="1579319664"/>
      </c:lineChart>
      <c:catAx>
        <c:axId val="51382171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579319664"/>
        <c:crosses val="autoZero"/>
        <c:auto val="1"/>
        <c:lblAlgn val="ctr"/>
        <c:lblOffset val="100"/>
        <c:noMultiLvlLbl val="0"/>
      </c:catAx>
      <c:valAx>
        <c:axId val="1579319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138217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spPr>
            <a:ln w="28575" cap="rnd">
              <a:solidFill>
                <a:schemeClr val="accent1"/>
              </a:solidFill>
              <a:round/>
            </a:ln>
            <a:effectLst/>
          </c:spPr>
          <c:marker>
            <c:symbol val="none"/>
          </c:marker>
          <c:val>
            <c:numRef>
              <c:f>'balança comercial_bens'!$C$6:$C$29</c:f>
              <c:numCache>
                <c:formatCode>General</c:formatCode>
                <c:ptCount val="24"/>
                <c:pt idx="0">
                  <c:v>-3.568653717347622E-3</c:v>
                </c:pt>
                <c:pt idx="1">
                  <c:v>-7.4591467787374268E-4</c:v>
                </c:pt>
                <c:pt idx="2">
                  <c:v>-7.3711466308831472E-3</c:v>
                </c:pt>
                <c:pt idx="3">
                  <c:v>-2.0052689837347742E-2</c:v>
                </c:pt>
                <c:pt idx="4">
                  <c:v>-4.960079085860495E-3</c:v>
                </c:pt>
                <c:pt idx="5">
                  <c:v>-7.3623324928057347E-3</c:v>
                </c:pt>
                <c:pt idx="6">
                  <c:v>-8.8555033239560224E-3</c:v>
                </c:pt>
                <c:pt idx="7">
                  <c:v>-1.4241447512173364E-2</c:v>
                </c:pt>
                <c:pt idx="8">
                  <c:v>-9.5533134987828786E-3</c:v>
                </c:pt>
                <c:pt idx="9">
                  <c:v>-1.1197090670458274E-3</c:v>
                </c:pt>
                <c:pt idx="10">
                  <c:v>-9.5356918222781317E-3</c:v>
                </c:pt>
                <c:pt idx="11">
                  <c:v>-1.4814694769595496E-2</c:v>
                </c:pt>
                <c:pt idx="12">
                  <c:v>-5.3900843823903267E-3</c:v>
                </c:pt>
                <c:pt idx="13">
                  <c:v>-4.7351997730595501E-4</c:v>
                </c:pt>
                <c:pt idx="14">
                  <c:v>-1.7590584573250368E-3</c:v>
                </c:pt>
                <c:pt idx="15">
                  <c:v>-4.0361093961187406E-3</c:v>
                </c:pt>
                <c:pt idx="16">
                  <c:v>-1.328335205454403E-3</c:v>
                </c:pt>
                <c:pt idx="17">
                  <c:v>3.6156342941889995E-3</c:v>
                </c:pt>
                <c:pt idx="18">
                  <c:v>-1.9311033761530898E-3</c:v>
                </c:pt>
                <c:pt idx="19">
                  <c:v>-1.1234878940015984E-2</c:v>
                </c:pt>
                <c:pt idx="20">
                  <c:v>-5.9550293478124253E-3</c:v>
                </c:pt>
                <c:pt idx="21">
                  <c:v>2.1250396492968858E-3</c:v>
                </c:pt>
                <c:pt idx="22">
                  <c:v>7.3421309308166274E-3</c:v>
                </c:pt>
                <c:pt idx="23">
                  <c:v>7.7017519090858732E-3</c:v>
                </c:pt>
              </c:numCache>
            </c:numRef>
          </c:val>
          <c:smooth val="0"/>
          <c:extLst>
            <c:ext xmlns:c16="http://schemas.microsoft.com/office/drawing/2014/chart" uri="{C3380CC4-5D6E-409C-BE32-E72D297353CC}">
              <c16:uniqueId val="{00000000-C771-4DB2-BDF3-B2CDCA5EBE29}"/>
            </c:ext>
          </c:extLst>
        </c:ser>
        <c:ser>
          <c:idx val="1"/>
          <c:order val="1"/>
          <c:spPr>
            <a:ln w="28575" cap="rnd">
              <a:solidFill>
                <a:schemeClr val="accent2"/>
              </a:solidFill>
              <a:round/>
            </a:ln>
            <a:effectLst/>
          </c:spPr>
          <c:marker>
            <c:symbol val="none"/>
          </c:marker>
          <c:val>
            <c:numRef>
              <c:f>'balança comercial_bens'!$D$6:$D$29</c:f>
              <c:numCache>
                <c:formatCode>General</c:formatCode>
                <c:ptCount val="24"/>
                <c:pt idx="0">
                  <c:v>2.0802399999999999E-2</c:v>
                </c:pt>
                <c:pt idx="1">
                  <c:v>1.01996E-2</c:v>
                </c:pt>
                <c:pt idx="2">
                  <c:v>-2.4031999999999999E-3</c:v>
                </c:pt>
                <c:pt idx="3">
                  <c:v>-8.0059999999999992E-3</c:v>
                </c:pt>
                <c:pt idx="4">
                  <c:v>-1.6088999999999999E-3</c:v>
                </c:pt>
                <c:pt idx="5">
                  <c:v>-2.2117E-3</c:v>
                </c:pt>
                <c:pt idx="6">
                  <c:v>-6.8145000000000002E-3</c:v>
                </c:pt>
                <c:pt idx="7">
                  <c:v>-1.4173E-3</c:v>
                </c:pt>
                <c:pt idx="8">
                  <c:v>-2.0202000000000002E-3</c:v>
                </c:pt>
                <c:pt idx="9">
                  <c:v>3.77E-4</c:v>
                </c:pt>
                <c:pt idx="10">
                  <c:v>-7.2258000000000001E-3</c:v>
                </c:pt>
                <c:pt idx="11">
                  <c:v>-4.8285999999999997E-3</c:v>
                </c:pt>
                <c:pt idx="12">
                  <c:v>3.5685000000000001E-3</c:v>
                </c:pt>
                <c:pt idx="13">
                  <c:v>-1.0342999999999999E-3</c:v>
                </c:pt>
                <c:pt idx="14">
                  <c:v>-6.3710000000000004E-4</c:v>
                </c:pt>
                <c:pt idx="15">
                  <c:v>7.6009999999999999E-4</c:v>
                </c:pt>
                <c:pt idx="16">
                  <c:v>1.1573E-3</c:v>
                </c:pt>
                <c:pt idx="17">
                  <c:v>-4.4559999999999999E-4</c:v>
                </c:pt>
                <c:pt idx="18">
                  <c:v>-1.0483999999999999E-3</c:v>
                </c:pt>
                <c:pt idx="19">
                  <c:v>-9.6512000000000004E-3</c:v>
                </c:pt>
                <c:pt idx="20">
                  <c:v>-9.2540000000000001E-3</c:v>
                </c:pt>
                <c:pt idx="21">
                  <c:v>-4.8568999999999999E-3</c:v>
                </c:pt>
                <c:pt idx="22">
                  <c:v>5.5402999999999997E-3</c:v>
                </c:pt>
                <c:pt idx="23">
                  <c:v>1.0937499999999999E-2</c:v>
                </c:pt>
              </c:numCache>
            </c:numRef>
          </c:val>
          <c:smooth val="0"/>
          <c:extLst>
            <c:ext xmlns:c16="http://schemas.microsoft.com/office/drawing/2014/chart" uri="{C3380CC4-5D6E-409C-BE32-E72D297353CC}">
              <c16:uniqueId val="{00000001-C771-4DB2-BDF3-B2CDCA5EBE29}"/>
            </c:ext>
          </c:extLst>
        </c:ser>
        <c:ser>
          <c:idx val="2"/>
          <c:order val="2"/>
          <c:spPr>
            <a:ln w="6350" cap="rnd">
              <a:solidFill>
                <a:schemeClr val="accent3"/>
              </a:solidFill>
              <a:prstDash val="sysDot"/>
              <a:round/>
            </a:ln>
            <a:effectLst/>
          </c:spPr>
          <c:marker>
            <c:symbol val="none"/>
          </c:marker>
          <c:val>
            <c:numRef>
              <c:f>'balança comercial_bens'!$E$6:$E$29</c:f>
              <c:numCache>
                <c:formatCode>0.000000</c:formatCode>
                <c:ptCount val="24"/>
                <c:pt idx="0">
                  <c:v>3.8486535568896681E-3</c:v>
                </c:pt>
                <c:pt idx="1">
                  <c:v>-7.2933027059735285E-3</c:v>
                </c:pt>
                <c:pt idx="2">
                  <c:v>-9.713411743912187E-3</c:v>
                </c:pt>
                <c:pt idx="3">
                  <c:v>-1.7304246539203594E-2</c:v>
                </c:pt>
                <c:pt idx="4">
                  <c:v>2.2336593413532328E-3</c:v>
                </c:pt>
                <c:pt idx="5">
                  <c:v>-1.3911989900680474E-2</c:v>
                </c:pt>
                <c:pt idx="6">
                  <c:v>-1.139005539905486E-2</c:v>
                </c:pt>
                <c:pt idx="7">
                  <c:v>-1.1685763108098324E-2</c:v>
                </c:pt>
                <c:pt idx="8">
                  <c:v>-2.9077691733204718E-3</c:v>
                </c:pt>
                <c:pt idx="9">
                  <c:v>-7.7125933330520141E-3</c:v>
                </c:pt>
                <c:pt idx="10">
                  <c:v>-1.2213056572664546E-2</c:v>
                </c:pt>
                <c:pt idx="11">
                  <c:v>-1.2502646469383023E-2</c:v>
                </c:pt>
                <c:pt idx="12">
                  <c:v>-2.5677652928011215E-4</c:v>
                </c:pt>
                <c:pt idx="13">
                  <c:v>-7.160427710015487E-3</c:v>
                </c:pt>
                <c:pt idx="14">
                  <c:v>-4.8268409959559755E-3</c:v>
                </c:pt>
                <c:pt idx="15">
                  <c:v>-1.7771244504503516E-3</c:v>
                </c:pt>
                <c:pt idx="16">
                  <c:v>6.0456256961160439E-3</c:v>
                </c:pt>
                <c:pt idx="17">
                  <c:v>-3.079798548067073E-3</c:v>
                </c:pt>
                <c:pt idx="18">
                  <c:v>-4.7642970514866325E-3</c:v>
                </c:pt>
                <c:pt idx="19">
                  <c:v>-8.7100261110896644E-3</c:v>
                </c:pt>
                <c:pt idx="20">
                  <c:v>3.7633381195433229E-4</c:v>
                </c:pt>
                <c:pt idx="21">
                  <c:v>-4.2437698766299263E-3</c:v>
                </c:pt>
                <c:pt idx="22">
                  <c:v>4.6303670417419413E-3</c:v>
                </c:pt>
                <c:pt idx="23">
                  <c:v>9.7659606619462415E-3</c:v>
                </c:pt>
              </c:numCache>
            </c:numRef>
          </c:val>
          <c:smooth val="0"/>
          <c:extLst>
            <c:ext xmlns:c16="http://schemas.microsoft.com/office/drawing/2014/chart" uri="{C3380CC4-5D6E-409C-BE32-E72D297353CC}">
              <c16:uniqueId val="{00000002-C771-4DB2-BDF3-B2CDCA5EBE29}"/>
            </c:ext>
          </c:extLst>
        </c:ser>
        <c:dLbls>
          <c:showLegendKey val="0"/>
          <c:showVal val="0"/>
          <c:showCatName val="0"/>
          <c:showSerName val="0"/>
          <c:showPercent val="0"/>
          <c:showBubbleSize val="0"/>
        </c:dLbls>
        <c:smooth val="0"/>
        <c:axId val="468435567"/>
        <c:axId val="417800303"/>
      </c:lineChart>
      <c:catAx>
        <c:axId val="46843556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17800303"/>
        <c:crosses val="autoZero"/>
        <c:auto val="1"/>
        <c:lblAlgn val="ctr"/>
        <c:lblOffset val="100"/>
        <c:noMultiLvlLbl val="0"/>
      </c:catAx>
      <c:valAx>
        <c:axId val="417800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684355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1"/>
          <c:order val="0"/>
          <c:spPr>
            <a:ln w="28575" cap="rnd">
              <a:solidFill>
                <a:schemeClr val="accent2"/>
              </a:solidFill>
              <a:round/>
            </a:ln>
            <a:effectLst/>
          </c:spPr>
          <c:marker>
            <c:symbol val="none"/>
          </c:marker>
          <c:val>
            <c:numRef>
              <c:f>'balança comercial_bens'!$D$6:$D$127</c:f>
              <c:numCache>
                <c:formatCode>General</c:formatCode>
                <c:ptCount val="122"/>
                <c:pt idx="0">
                  <c:v>2.0802399999999999E-2</c:v>
                </c:pt>
                <c:pt idx="1">
                  <c:v>1.01996E-2</c:v>
                </c:pt>
                <c:pt idx="2">
                  <c:v>-2.4031999999999999E-3</c:v>
                </c:pt>
                <c:pt idx="3">
                  <c:v>-8.0059999999999992E-3</c:v>
                </c:pt>
                <c:pt idx="4">
                  <c:v>-1.6088999999999999E-3</c:v>
                </c:pt>
                <c:pt idx="5">
                  <c:v>-2.2117E-3</c:v>
                </c:pt>
                <c:pt idx="6">
                  <c:v>-6.8145000000000002E-3</c:v>
                </c:pt>
                <c:pt idx="7">
                  <c:v>-1.4173E-3</c:v>
                </c:pt>
                <c:pt idx="8">
                  <c:v>-2.0202000000000002E-3</c:v>
                </c:pt>
                <c:pt idx="9">
                  <c:v>3.77E-4</c:v>
                </c:pt>
                <c:pt idx="10">
                  <c:v>-7.2258000000000001E-3</c:v>
                </c:pt>
                <c:pt idx="11">
                  <c:v>-4.8285999999999997E-3</c:v>
                </c:pt>
                <c:pt idx="12">
                  <c:v>3.5685000000000001E-3</c:v>
                </c:pt>
                <c:pt idx="13">
                  <c:v>-1.0342999999999999E-3</c:v>
                </c:pt>
                <c:pt idx="14">
                  <c:v>-6.3710000000000004E-4</c:v>
                </c:pt>
                <c:pt idx="15">
                  <c:v>7.6009999999999999E-4</c:v>
                </c:pt>
                <c:pt idx="16">
                  <c:v>1.1573E-3</c:v>
                </c:pt>
                <c:pt idx="17">
                  <c:v>-4.4559999999999999E-4</c:v>
                </c:pt>
                <c:pt idx="18">
                  <c:v>-1.0483999999999999E-3</c:v>
                </c:pt>
                <c:pt idx="19">
                  <c:v>-9.6512000000000004E-3</c:v>
                </c:pt>
                <c:pt idx="20">
                  <c:v>-9.2540000000000001E-3</c:v>
                </c:pt>
                <c:pt idx="21">
                  <c:v>-4.8568999999999999E-3</c:v>
                </c:pt>
                <c:pt idx="22">
                  <c:v>5.5402999999999997E-3</c:v>
                </c:pt>
                <c:pt idx="23">
                  <c:v>1.0937499999999999E-2</c:v>
                </c:pt>
              </c:numCache>
            </c:numRef>
          </c:val>
          <c:smooth val="0"/>
          <c:extLst>
            <c:ext xmlns:c16="http://schemas.microsoft.com/office/drawing/2014/chart" uri="{C3380CC4-5D6E-409C-BE32-E72D297353CC}">
              <c16:uniqueId val="{00000001-4493-4D7D-9DC9-E62C2B830E48}"/>
            </c:ext>
          </c:extLst>
        </c:ser>
        <c:ser>
          <c:idx val="2"/>
          <c:order val="1"/>
          <c:spPr>
            <a:ln w="6350" cap="rnd">
              <a:solidFill>
                <a:schemeClr val="accent3"/>
              </a:solidFill>
              <a:prstDash val="sysDot"/>
              <a:round/>
            </a:ln>
            <a:effectLst/>
          </c:spPr>
          <c:marker>
            <c:symbol val="none"/>
          </c:marker>
          <c:val>
            <c:numRef>
              <c:f>'balança comercial_bens'!$E$6:$E$127</c:f>
              <c:numCache>
                <c:formatCode>0.000000</c:formatCode>
                <c:ptCount val="122"/>
                <c:pt idx="0">
                  <c:v>3.8486535568896681E-3</c:v>
                </c:pt>
                <c:pt idx="1">
                  <c:v>-7.2933027059735285E-3</c:v>
                </c:pt>
                <c:pt idx="2">
                  <c:v>-9.713411743912187E-3</c:v>
                </c:pt>
                <c:pt idx="3">
                  <c:v>-1.7304246539203594E-2</c:v>
                </c:pt>
                <c:pt idx="4">
                  <c:v>2.2336593413532328E-3</c:v>
                </c:pt>
                <c:pt idx="5">
                  <c:v>-1.3911989900680474E-2</c:v>
                </c:pt>
                <c:pt idx="6">
                  <c:v>-1.139005539905486E-2</c:v>
                </c:pt>
                <c:pt idx="7">
                  <c:v>-1.1685763108098324E-2</c:v>
                </c:pt>
                <c:pt idx="8">
                  <c:v>-2.9077691733204718E-3</c:v>
                </c:pt>
                <c:pt idx="9">
                  <c:v>-7.7125933330520141E-3</c:v>
                </c:pt>
                <c:pt idx="10">
                  <c:v>-1.2213056572664546E-2</c:v>
                </c:pt>
                <c:pt idx="11">
                  <c:v>-1.2502646469383023E-2</c:v>
                </c:pt>
                <c:pt idx="12">
                  <c:v>-2.5677652928011215E-4</c:v>
                </c:pt>
                <c:pt idx="13">
                  <c:v>-7.160427710015487E-3</c:v>
                </c:pt>
                <c:pt idx="14">
                  <c:v>-4.8268409959559755E-3</c:v>
                </c:pt>
                <c:pt idx="15">
                  <c:v>-1.7771244504503516E-3</c:v>
                </c:pt>
                <c:pt idx="16">
                  <c:v>6.0456256961160439E-3</c:v>
                </c:pt>
                <c:pt idx="17">
                  <c:v>-3.079798548067073E-3</c:v>
                </c:pt>
                <c:pt idx="18">
                  <c:v>-4.7642970514866325E-3</c:v>
                </c:pt>
                <c:pt idx="19">
                  <c:v>-8.7100261110896644E-3</c:v>
                </c:pt>
                <c:pt idx="20">
                  <c:v>3.7633381195433229E-4</c:v>
                </c:pt>
                <c:pt idx="21">
                  <c:v>-4.2437698766299263E-3</c:v>
                </c:pt>
                <c:pt idx="22">
                  <c:v>4.6303670417419413E-3</c:v>
                </c:pt>
                <c:pt idx="23">
                  <c:v>9.7659606619462415E-3</c:v>
                </c:pt>
                <c:pt idx="24">
                  <c:v>1.3969593156867546E-2</c:v>
                </c:pt>
                <c:pt idx="25">
                  <c:v>3.2363348441000611E-3</c:v>
                </c:pt>
                <c:pt idx="26">
                  <c:v>3.5358237061927464E-2</c:v>
                </c:pt>
                <c:pt idx="27">
                  <c:v>3.9843277539861305E-2</c:v>
                </c:pt>
                <c:pt idx="28">
                  <c:v>3.8559469222383444E-2</c:v>
                </c:pt>
                <c:pt idx="29">
                  <c:v>3.8750535699810282E-2</c:v>
                </c:pt>
                <c:pt idx="30">
                  <c:v>4.4867919631725664E-2</c:v>
                </c:pt>
                <c:pt idx="31">
                  <c:v>4.3941463492861099E-2</c:v>
                </c:pt>
                <c:pt idx="32">
                  <c:v>4.5651018298607605E-2</c:v>
                </c:pt>
                <c:pt idx="33">
                  <c:v>4.7191686861475894E-2</c:v>
                </c:pt>
                <c:pt idx="34">
                  <c:v>5.4159510540337713E-2</c:v>
                </c:pt>
                <c:pt idx="35">
                  <c:v>4.5815645221993856E-2</c:v>
                </c:pt>
                <c:pt idx="36">
                  <c:v>5.0833649274794633E-2</c:v>
                </c:pt>
                <c:pt idx="37">
                  <c:v>4.5144810433028634E-2</c:v>
                </c:pt>
                <c:pt idx="38">
                  <c:v>5.1245923134806456E-2</c:v>
                </c:pt>
                <c:pt idx="39">
                  <c:v>4.8192399261258498E-2</c:v>
                </c:pt>
                <c:pt idx="40">
                  <c:v>4.3297916125760123E-2</c:v>
                </c:pt>
                <c:pt idx="41">
                  <c:v>3.0245050107716158E-2</c:v>
                </c:pt>
                <c:pt idx="42">
                  <c:v>4.7478583140135269E-2</c:v>
                </c:pt>
                <c:pt idx="43">
                  <c:v>4.1460689871515771E-2</c:v>
                </c:pt>
                <c:pt idx="44">
                  <c:v>3.5802009703801811E-2</c:v>
                </c:pt>
                <c:pt idx="45">
                  <c:v>2.7450185814578018E-2</c:v>
                </c:pt>
                <c:pt idx="46">
                  <c:v>2.4806309625147072E-2</c:v>
                </c:pt>
                <c:pt idx="47">
                  <c:v>2.3461349097782434E-2</c:v>
                </c:pt>
                <c:pt idx="48">
                  <c:v>1.3258491706056794E-2</c:v>
                </c:pt>
                <c:pt idx="49">
                  <c:v>1.118387584136412E-2</c:v>
                </c:pt>
                <c:pt idx="50">
                  <c:v>1.3750272989085547E-2</c:v>
                </c:pt>
                <c:pt idx="51">
                  <c:v>1.6335902174495504E-2</c:v>
                </c:pt>
                <c:pt idx="52">
                  <c:v>1.6446035722129625E-2</c:v>
                </c:pt>
                <c:pt idx="53">
                  <c:v>2.2008001673949479E-2</c:v>
                </c:pt>
                <c:pt idx="54">
                  <c:v>1.2863043341452031E-2</c:v>
                </c:pt>
                <c:pt idx="55">
                  <c:v>9.598027802125193E-3</c:v>
                </c:pt>
                <c:pt idx="56">
                  <c:v>8.3420612810617446E-3</c:v>
                </c:pt>
                <c:pt idx="57">
                  <c:v>5.8459959432754383E-3</c:v>
                </c:pt>
                <c:pt idx="58">
                  <c:v>4.7857764350881776E-3</c:v>
                </c:pt>
                <c:pt idx="59">
                  <c:v>1.3239356679149133E-2</c:v>
                </c:pt>
                <c:pt idx="60">
                  <c:v>1.1510533111845304E-2</c:v>
                </c:pt>
                <c:pt idx="61">
                  <c:v>6.9685549008820791E-3</c:v>
                </c:pt>
                <c:pt idx="62">
                  <c:v>1.114776951222541E-2</c:v>
                </c:pt>
                <c:pt idx="63">
                  <c:v>1.1751230360097953E-2</c:v>
                </c:pt>
                <c:pt idx="64">
                  <c:v>1.0126037915630052E-2</c:v>
                </c:pt>
                <c:pt idx="65">
                  <c:v>1.4076652383076919E-4</c:v>
                </c:pt>
                <c:pt idx="66">
                  <c:v>1.0377290341270863E-2</c:v>
                </c:pt>
                <c:pt idx="67">
                  <c:v>7.0381420065545389E-3</c:v>
                </c:pt>
                <c:pt idx="68">
                  <c:v>-1.683005720573949E-3</c:v>
                </c:pt>
                <c:pt idx="69">
                  <c:v>-4.130677341602833E-3</c:v>
                </c:pt>
                <c:pt idx="70">
                  <c:v>-1.6676268115112182E-3</c:v>
                </c:pt>
                <c:pt idx="71">
                  <c:v>8.0437532880528618E-3</c:v>
                </c:pt>
                <c:pt idx="72">
                  <c:v>-3.5124719111833316E-3</c:v>
                </c:pt>
                <c:pt idx="73">
                  <c:v>-2.1361798037106338E-3</c:v>
                </c:pt>
                <c:pt idx="74">
                  <c:v>-1.298555034569252E-3</c:v>
                </c:pt>
                <c:pt idx="75">
                  <c:v>-5.0771043823710739E-3</c:v>
                </c:pt>
                <c:pt idx="76">
                  <c:v>-4.2091761500751244E-3</c:v>
                </c:pt>
                <c:pt idx="77">
                  <c:v>8.2570803003780228E-3</c:v>
                </c:pt>
                <c:pt idx="78">
                  <c:v>1.5165314125671205E-2</c:v>
                </c:pt>
                <c:pt idx="79">
                  <c:v>2.3813851658880478E-2</c:v>
                </c:pt>
                <c:pt idx="80">
                  <c:v>2.8426766216389267E-2</c:v>
                </c:pt>
                <c:pt idx="81">
                  <c:v>2.5855576762335387E-2</c:v>
                </c:pt>
                <c:pt idx="82">
                  <c:v>2.1050429851742245E-2</c:v>
                </c:pt>
                <c:pt idx="83">
                  <c:v>2.3592699014608705E-2</c:v>
                </c:pt>
                <c:pt idx="84">
                  <c:v>3.3537315597546892E-2</c:v>
                </c:pt>
                <c:pt idx="85">
                  <c:v>3.1028703022373753E-2</c:v>
                </c:pt>
                <c:pt idx="86">
                  <c:v>2.4367171139723615E-2</c:v>
                </c:pt>
                <c:pt idx="87">
                  <c:v>2.2627029217096629E-2</c:v>
                </c:pt>
                <c:pt idx="88">
                  <c:v>2.5203023111113998E-2</c:v>
                </c:pt>
                <c:pt idx="89">
                  <c:v>2.3272123923769036E-2</c:v>
                </c:pt>
                <c:pt idx="90">
                  <c:v>1.5236992864385714E-2</c:v>
                </c:pt>
                <c:pt idx="91">
                  <c:v>2.891299363101351E-2</c:v>
                </c:pt>
                <c:pt idx="92">
                  <c:v>1.8112507595423852E-2</c:v>
                </c:pt>
                <c:pt idx="93">
                  <c:v>1.9543389697958314E-2</c:v>
                </c:pt>
                <c:pt idx="94">
                  <c:v>6.7227186377020812E-3</c:v>
                </c:pt>
                <c:pt idx="95">
                  <c:v>1.8838143123208952E-2</c:v>
                </c:pt>
                <c:pt idx="96">
                  <c:v>7.2242792399819398E-3</c:v>
                </c:pt>
                <c:pt idx="97">
                  <c:v>3.7528588271720023E-2</c:v>
                </c:pt>
                <c:pt idx="98">
                  <c:v>4.4527101497352936E-2</c:v>
                </c:pt>
                <c:pt idx="99">
                  <c:v>1.4289375035337504E-2</c:v>
                </c:pt>
                <c:pt idx="100">
                  <c:v>1.4186991334183136E-3</c:v>
                </c:pt>
                <c:pt idx="101">
                  <c:v>5.4924304460222319E-2</c:v>
                </c:pt>
                <c:pt idx="102">
                  <c:v>3.3360589593951606E-2</c:v>
                </c:pt>
                <c:pt idx="103">
                  <c:v>9.4172007597510751E-3</c:v>
                </c:pt>
                <c:pt idx="104">
                  <c:v>2.9595868131533982E-2</c:v>
                </c:pt>
                <c:pt idx="105">
                  <c:v>3.2233440022724637E-2</c:v>
                </c:pt>
                <c:pt idx="106">
                  <c:v>1.8119736320872819E-2</c:v>
                </c:pt>
                <c:pt idx="107">
                  <c:v>2.4849120008144831E-2</c:v>
                </c:pt>
                <c:pt idx="108">
                  <c:v>3.6618410592336184E-2</c:v>
                </c:pt>
                <c:pt idx="109">
                  <c:v>4.3741198456005138E-2</c:v>
                </c:pt>
                <c:pt idx="110">
                  <c:v>4.0991823184670692E-2</c:v>
                </c:pt>
                <c:pt idx="111">
                  <c:v>4.5689585870628616E-2</c:v>
                </c:pt>
                <c:pt idx="112">
                  <c:v>3.6624581533482387E-2</c:v>
                </c:pt>
                <c:pt idx="113">
                  <c:v>3.0758821006093555E-2</c:v>
                </c:pt>
                <c:pt idx="114">
                  <c:v>2.5131333351913612E-2</c:v>
                </c:pt>
                <c:pt idx="115">
                  <c:v>2.7615583119778592E-2</c:v>
                </c:pt>
                <c:pt idx="116">
                  <c:v>2.1850555323419306E-2</c:v>
                </c:pt>
                <c:pt idx="117">
                  <c:v>2.6489294296183394E-2</c:v>
                </c:pt>
                <c:pt idx="118">
                  <c:v>2.0943499041845892E-2</c:v>
                </c:pt>
                <c:pt idx="119">
                  <c:v>3.4138000960074064E-2</c:v>
                </c:pt>
                <c:pt idx="120">
                  <c:v>2.6710436173343656E-2</c:v>
                </c:pt>
                <c:pt idx="121">
                  <c:v>3.0924751444766287E-2</c:v>
                </c:pt>
              </c:numCache>
            </c:numRef>
          </c:val>
          <c:smooth val="0"/>
          <c:extLst>
            <c:ext xmlns:c16="http://schemas.microsoft.com/office/drawing/2014/chart" uri="{C3380CC4-5D6E-409C-BE32-E72D297353CC}">
              <c16:uniqueId val="{00000002-4493-4D7D-9DC9-E62C2B830E48}"/>
            </c:ext>
          </c:extLst>
        </c:ser>
        <c:dLbls>
          <c:showLegendKey val="0"/>
          <c:showVal val="0"/>
          <c:showCatName val="0"/>
          <c:showSerName val="0"/>
          <c:showPercent val="0"/>
          <c:showBubbleSize val="0"/>
        </c:dLbls>
        <c:smooth val="0"/>
        <c:axId val="468435567"/>
        <c:axId val="417800303"/>
        <c:extLst>
          <c:ext xmlns:c15="http://schemas.microsoft.com/office/drawing/2012/chart" uri="{02D57815-91ED-43cb-92C2-25804820EDAC}">
            <c15:filteredLineSeries>
              <c15:ser>
                <c:idx val="0"/>
                <c:order val="2"/>
                <c:spPr>
                  <a:ln w="28575" cap="rnd">
                    <a:solidFill>
                      <a:schemeClr val="accent1"/>
                    </a:solidFill>
                    <a:round/>
                  </a:ln>
                  <a:effectLst/>
                </c:spPr>
                <c:marker>
                  <c:symbol val="none"/>
                </c:marker>
                <c:val>
                  <c:numRef>
                    <c:extLst>
                      <c:ext uri="{02D57815-91ED-43cb-92C2-25804820EDAC}">
                        <c15:formulaRef>
                          <c15:sqref>'balança comercial_bens'!$C$6:$C$127</c15:sqref>
                        </c15:formulaRef>
                      </c:ext>
                    </c:extLst>
                    <c:numCache>
                      <c:formatCode>General</c:formatCode>
                      <c:ptCount val="122"/>
                      <c:pt idx="0">
                        <c:v>-3.568653717347622E-3</c:v>
                      </c:pt>
                      <c:pt idx="1">
                        <c:v>-7.4591467787374268E-4</c:v>
                      </c:pt>
                      <c:pt idx="2">
                        <c:v>-7.3711466308831472E-3</c:v>
                      </c:pt>
                      <c:pt idx="3">
                        <c:v>-2.0052689837347742E-2</c:v>
                      </c:pt>
                      <c:pt idx="4">
                        <c:v>-4.960079085860495E-3</c:v>
                      </c:pt>
                      <c:pt idx="5">
                        <c:v>-7.3623324928057347E-3</c:v>
                      </c:pt>
                      <c:pt idx="6">
                        <c:v>-8.8555033239560224E-3</c:v>
                      </c:pt>
                      <c:pt idx="7">
                        <c:v>-1.4241447512173364E-2</c:v>
                      </c:pt>
                      <c:pt idx="8">
                        <c:v>-9.5533134987828786E-3</c:v>
                      </c:pt>
                      <c:pt idx="9">
                        <c:v>-1.1197090670458274E-3</c:v>
                      </c:pt>
                      <c:pt idx="10">
                        <c:v>-9.5356918222781317E-3</c:v>
                      </c:pt>
                      <c:pt idx="11">
                        <c:v>-1.4814694769595496E-2</c:v>
                      </c:pt>
                      <c:pt idx="12">
                        <c:v>-5.3900843823903267E-3</c:v>
                      </c:pt>
                      <c:pt idx="13">
                        <c:v>-4.7351997730595501E-4</c:v>
                      </c:pt>
                      <c:pt idx="14">
                        <c:v>-1.7590584573250368E-3</c:v>
                      </c:pt>
                      <c:pt idx="15">
                        <c:v>-4.0361093961187406E-3</c:v>
                      </c:pt>
                      <c:pt idx="16">
                        <c:v>-1.328335205454403E-3</c:v>
                      </c:pt>
                      <c:pt idx="17">
                        <c:v>3.6156342941889995E-3</c:v>
                      </c:pt>
                      <c:pt idx="18">
                        <c:v>-1.9311033761530898E-3</c:v>
                      </c:pt>
                      <c:pt idx="19">
                        <c:v>-1.1234878940015984E-2</c:v>
                      </c:pt>
                      <c:pt idx="20">
                        <c:v>-5.9550293478124253E-3</c:v>
                      </c:pt>
                      <c:pt idx="21">
                        <c:v>2.1250396492968858E-3</c:v>
                      </c:pt>
                      <c:pt idx="22">
                        <c:v>7.3421309308166274E-3</c:v>
                      </c:pt>
                      <c:pt idx="23">
                        <c:v>7.7017519090858732E-3</c:v>
                      </c:pt>
                      <c:pt idx="24">
                        <c:v>5.8238923823575942E-3</c:v>
                      </c:pt>
                      <c:pt idx="25">
                        <c:v>9.3316357564103055E-3</c:v>
                      </c:pt>
                      <c:pt idx="26">
                        <c:v>3.8772147081154285E-2</c:v>
                      </c:pt>
                      <c:pt idx="27">
                        <c:v>3.9048065152272576E-2</c:v>
                      </c:pt>
                      <c:pt idx="28">
                        <c:v>2.8088293684443655E-2</c:v>
                      </c:pt>
                      <c:pt idx="29">
                        <c:v>4.9070360351957221E-2</c:v>
                      </c:pt>
                      <c:pt idx="30">
                        <c:v>5.3417799044500426E-2</c:v>
                      </c:pt>
                      <c:pt idx="31">
                        <c:v>4.7441752388442532E-2</c:v>
                      </c:pt>
                      <c:pt idx="32">
                        <c:v>3.9122976930886004E-2</c:v>
                      </c:pt>
                      <c:pt idx="33">
                        <c:v>5.497875723781067E-2</c:v>
                      </c:pt>
                      <c:pt idx="34">
                        <c:v>6.0551035242807236E-2</c:v>
                      </c:pt>
                      <c:pt idx="35">
                        <c:v>4.9168508035539543E-2</c:v>
                      </c:pt>
                      <c:pt idx="36">
                        <c:v>4.6133346999436275E-2</c:v>
                      </c:pt>
                      <c:pt idx="37">
                        <c:v>5.8446173964397205E-2</c:v>
                      </c:pt>
                      <c:pt idx="38">
                        <c:v>6.1651424295141553E-2</c:v>
                      </c:pt>
                      <c:pt idx="39">
                        <c:v>5.3130829387286554E-2</c:v>
                      </c:pt>
                      <c:pt idx="40">
                        <c:v>3.7815800026734389E-2</c:v>
                      </c:pt>
                      <c:pt idx="41">
                        <c:v>3.8839175594751627E-2</c:v>
                      </c:pt>
                      <c:pt idx="42">
                        <c:v>5.4152856831516709E-2</c:v>
                      </c:pt>
                      <c:pt idx="43">
                        <c:v>4.3260243584324183E-2</c:v>
                      </c:pt>
                      <c:pt idx="44">
                        <c:v>2.9467383949172178E-2</c:v>
                      </c:pt>
                      <c:pt idx="45">
                        <c:v>3.7441497659906398E-2</c:v>
                      </c:pt>
                      <c:pt idx="46">
                        <c:v>3.0623004289598323E-2</c:v>
                      </c:pt>
                      <c:pt idx="47">
                        <c:v>2.4590545369155288E-2</c:v>
                      </c:pt>
                      <c:pt idx="48">
                        <c:v>6.3551563597155341E-3</c:v>
                      </c:pt>
                      <c:pt idx="49">
                        <c:v>2.0014802863694715E-2</c:v>
                      </c:pt>
                      <c:pt idx="50">
                        <c:v>1.8351403957300335E-2</c:v>
                      </c:pt>
                      <c:pt idx="51">
                        <c:v>1.1813740921491164E-2</c:v>
                      </c:pt>
                      <c:pt idx="52">
                        <c:v>7.2359387693832003E-3</c:v>
                      </c:pt>
                      <c:pt idx="53">
                        <c:v>2.8398661009438071E-2</c:v>
                      </c:pt>
                      <c:pt idx="54">
                        <c:v>1.8902152420391071E-2</c:v>
                      </c:pt>
                      <c:pt idx="55">
                        <c:v>9.3364677297467936E-3</c:v>
                      </c:pt>
                      <c:pt idx="56">
                        <c:v>1.0441963832261562E-3</c:v>
                      </c:pt>
                      <c:pt idx="57">
                        <c:v>1.3153620684273431E-2</c:v>
                      </c:pt>
                      <c:pt idx="58">
                        <c:v>8.3666765490661137E-3</c:v>
                      </c:pt>
                      <c:pt idx="59">
                        <c:v>1.2555447448806427E-2</c:v>
                      </c:pt>
                      <c:pt idx="60">
                        <c:v>4.3454497874293755E-3</c:v>
                      </c:pt>
                      <c:pt idx="61">
                        <c:v>1.4830716966041204E-2</c:v>
                      </c:pt>
                      <c:pt idx="62">
                        <c:v>1.4766137430730013E-2</c:v>
                      </c:pt>
                      <c:pt idx="63">
                        <c:v>9.4842423973525956E-3</c:v>
                      </c:pt>
                      <c:pt idx="64">
                        <c:v>2.673475472709028E-3</c:v>
                      </c:pt>
                      <c:pt idx="65">
                        <c:v>6.313446421505854E-3</c:v>
                      </c:pt>
                      <c:pt idx="66">
                        <c:v>1.2949438112030729E-2</c:v>
                      </c:pt>
                      <c:pt idx="67">
                        <c:v>4.918597080308563E-3</c:v>
                      </c:pt>
                      <c:pt idx="68">
                        <c:v>-9.1737769885219429E-3</c:v>
                      </c:pt>
                      <c:pt idx="69">
                        <c:v>2.5147618293178981E-3</c:v>
                      </c:pt>
                      <c:pt idx="70">
                        <c:v>1.2133697868975701E-3</c:v>
                      </c:pt>
                      <c:pt idx="71">
                        <c:v>5.948169240946875E-3</c:v>
                      </c:pt>
                      <c:pt idx="72">
                        <c:v>-1.0473794359815897E-2</c:v>
                      </c:pt>
                      <c:pt idx="73">
                        <c:v>4.6525192314643511E-3</c:v>
                      </c:pt>
                      <c:pt idx="74">
                        <c:v>1.6884840975468463E-3</c:v>
                      </c:pt>
                      <c:pt idx="75">
                        <c:v>-6.9175854280005451E-3</c:v>
                      </c:pt>
                      <c:pt idx="76">
                        <c:v>-9.8249903568695986E-3</c:v>
                      </c:pt>
                      <c:pt idx="77">
                        <c:v>1.2737143814496008E-2</c:v>
                      </c:pt>
                      <c:pt idx="78">
                        <c:v>1.5324119370700605E-2</c:v>
                      </c:pt>
                      <c:pt idx="79">
                        <c:v>1.9203771584840615E-2</c:v>
                      </c:pt>
                      <c:pt idx="80">
                        <c:v>1.9168700415237362E-2</c:v>
                      </c:pt>
                      <c:pt idx="81">
                        <c:v>3.4882923931960623E-2</c:v>
                      </c:pt>
                      <c:pt idx="82">
                        <c:v>2.7248097868379242E-2</c:v>
                      </c:pt>
                      <c:pt idx="83">
                        <c:v>2.3613823875138044E-2</c:v>
                      </c:pt>
                      <c:pt idx="84">
                        <c:v>2.7466513124527112E-2</c:v>
                      </c:pt>
                      <c:pt idx="85">
                        <c:v>3.8376715066473575E-2</c:v>
                      </c:pt>
                      <c:pt idx="86">
                        <c:v>2.8056605224096844E-2</c:v>
                      </c:pt>
                      <c:pt idx="87">
                        <c:v>2.1026529868397582E-2</c:v>
                      </c:pt>
                      <c:pt idx="88">
                        <c:v>1.7760721233469643E-2</c:v>
                      </c:pt>
                      <c:pt idx="89">
                        <c:v>2.7962821564431181E-2</c:v>
                      </c:pt>
                      <c:pt idx="90">
                        <c:v>1.6416280787001535E-2</c:v>
                      </c:pt>
                      <c:pt idx="91">
                        <c:v>2.6623971343477992E-2</c:v>
                      </c:pt>
                      <c:pt idx="92">
                        <c:v>1.0739577309360177E-2</c:v>
                      </c:pt>
                      <c:pt idx="93">
                        <c:v>2.6304515095823978E-2</c:v>
                      </c:pt>
                      <c:pt idx="94">
                        <c:v>9.7289706322885496E-3</c:v>
                      </c:pt>
                      <c:pt idx="95">
                        <c:v>1.66403246475865E-2</c:v>
                      </c:pt>
                      <c:pt idx="96">
                        <c:v>-1.2297588488931075E-4</c:v>
                      </c:pt>
                      <c:pt idx="97">
                        <c:v>3.3883422893172456E-2</c:v>
                      </c:pt>
                      <c:pt idx="98">
                        <c:v>4.3179899175802186E-2</c:v>
                      </c:pt>
                      <c:pt idx="99">
                        <c:v>1.2516468681041636E-2</c:v>
                      </c:pt>
                      <c:pt idx="100">
                        <c:v>-6.4287226478966864E-3</c:v>
                      </c:pt>
                      <c:pt idx="101">
                        <c:v>6.637414059129651E-2</c:v>
                      </c:pt>
                      <c:pt idx="102">
                        <c:v>3.9185636217098148E-2</c:v>
                      </c:pt>
                      <c:pt idx="103">
                        <c:v>7.3712327012249073E-3</c:v>
                      </c:pt>
                      <c:pt idx="104">
                        <c:v>2.2967460211058548E-2</c:v>
                      </c:pt>
                      <c:pt idx="105">
                        <c:v>4.3634970970878428E-2</c:v>
                      </c:pt>
                      <c:pt idx="106">
                        <c:v>2.2239526420412974E-2</c:v>
                      </c:pt>
                      <c:pt idx="107">
                        <c:v>2.3352637409598611E-2</c:v>
                      </c:pt>
                      <c:pt idx="108">
                        <c:v>2.8986149872194531E-2</c:v>
                      </c:pt>
                      <c:pt idx="109">
                        <c:v>5.4237284815720724E-2</c:v>
                      </c:pt>
                      <c:pt idx="110">
                        <c:v>4.7105479198114454E-2</c:v>
                      </c:pt>
                      <c:pt idx="111">
                        <c:v>4.595270087704565E-2</c:v>
                      </c:pt>
                      <c:pt idx="112">
                        <c:v>2.8954676447471839E-2</c:v>
                      </c:pt>
                      <c:pt idx="113">
                        <c:v>3.704944167353013E-2</c:v>
                      </c:pt>
                      <c:pt idx="114">
                        <c:v>2.7201058468124678E-2</c:v>
                      </c:pt>
                      <c:pt idx="115">
                        <c:v>2.4448684812165389E-2</c:v>
                      </c:pt>
                      <c:pt idx="116">
                        <c:v>1.3972682576575276E-2</c:v>
                      </c:pt>
                      <c:pt idx="117">
                        <c:v>3.472817670551797E-2</c:v>
                      </c:pt>
                      <c:pt idx="118">
                        <c:v>2.5774770614024112E-2</c:v>
                      </c:pt>
                      <c:pt idx="119">
                        <c:v>3.4081037558535185E-2</c:v>
                      </c:pt>
                      <c:pt idx="120">
                        <c:v>2.0088208105977345E-2</c:v>
                      </c:pt>
                      <c:pt idx="121">
                        <c:v>4.0774321903679508E-2</c:v>
                      </c:pt>
                    </c:numCache>
                  </c:numRef>
                </c:val>
                <c:smooth val="0"/>
                <c:extLst>
                  <c:ext xmlns:c16="http://schemas.microsoft.com/office/drawing/2014/chart" uri="{C3380CC4-5D6E-409C-BE32-E72D297353CC}">
                    <c16:uniqueId val="{00000003-4493-4D7D-9DC9-E62C2B830E48}"/>
                  </c:ext>
                </c:extLst>
              </c15:ser>
            </c15:filteredLineSeries>
          </c:ext>
        </c:extLst>
      </c:lineChart>
      <c:catAx>
        <c:axId val="46843556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17800303"/>
        <c:crosses val="autoZero"/>
        <c:auto val="1"/>
        <c:lblAlgn val="ctr"/>
        <c:lblOffset val="100"/>
        <c:noMultiLvlLbl val="0"/>
      </c:catAx>
      <c:valAx>
        <c:axId val="417800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684355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spPr>
            <a:ln w="28575" cap="rnd">
              <a:solidFill>
                <a:schemeClr val="accent1"/>
              </a:solidFill>
              <a:round/>
            </a:ln>
            <a:effectLst/>
          </c:spPr>
          <c:marker>
            <c:symbol val="none"/>
          </c:marker>
          <c:val>
            <c:numRef>
              <c:f>'balança comercial'!$C$6:$C$29</c:f>
              <c:numCache>
                <c:formatCode>General</c:formatCode>
                <c:ptCount val="24"/>
                <c:pt idx="0">
                  <c:v>-1.1050211809110803E-2</c:v>
                </c:pt>
                <c:pt idx="1">
                  <c:v>-1.0207225203976029E-2</c:v>
                </c:pt>
                <c:pt idx="2">
                  <c:v>-1.7678610409455203E-2</c:v>
                </c:pt>
                <c:pt idx="3">
                  <c:v>-3.0172429497923193E-2</c:v>
                </c:pt>
                <c:pt idx="4">
                  <c:v>-1.5880370884865148E-2</c:v>
                </c:pt>
                <c:pt idx="5">
                  <c:v>-2.0583319978938211E-2</c:v>
                </c:pt>
                <c:pt idx="6">
                  <c:v>-2.2512721147216183E-2</c:v>
                </c:pt>
                <c:pt idx="7">
                  <c:v>-2.8208022416738771E-2</c:v>
                </c:pt>
                <c:pt idx="8">
                  <c:v>-2.2064599331731053E-2</c:v>
                </c:pt>
                <c:pt idx="9">
                  <c:v>-1.2661260852872743E-2</c:v>
                </c:pt>
                <c:pt idx="10">
                  <c:v>-2.3248389182440418E-2</c:v>
                </c:pt>
                <c:pt idx="11">
                  <c:v>-2.8087164856066424E-2</c:v>
                </c:pt>
                <c:pt idx="12">
                  <c:v>-1.721707100215928E-2</c:v>
                </c:pt>
                <c:pt idx="13">
                  <c:v>-1.4231760927959284E-2</c:v>
                </c:pt>
                <c:pt idx="14">
                  <c:v>-1.6111994289978261E-2</c:v>
                </c:pt>
                <c:pt idx="15">
                  <c:v>-1.9074360960495741E-2</c:v>
                </c:pt>
                <c:pt idx="16">
                  <c:v>-1.2401884843790343E-2</c:v>
                </c:pt>
                <c:pt idx="17">
                  <c:v>-9.9108622011225677E-3</c:v>
                </c:pt>
                <c:pt idx="18">
                  <c:v>-1.4108767405269196E-2</c:v>
                </c:pt>
                <c:pt idx="19">
                  <c:v>-2.7423245743065934E-2</c:v>
                </c:pt>
                <c:pt idx="20">
                  <c:v>-2.2698871172153613E-2</c:v>
                </c:pt>
                <c:pt idx="21">
                  <c:v>-1.5239265030385694E-2</c:v>
                </c:pt>
                <c:pt idx="22">
                  <c:v>-7.7878238214963546E-3</c:v>
                </c:pt>
                <c:pt idx="23">
                  <c:v>-6.337883354015245E-3</c:v>
                </c:pt>
              </c:numCache>
            </c:numRef>
          </c:val>
          <c:smooth val="0"/>
          <c:extLst>
            <c:ext xmlns:c16="http://schemas.microsoft.com/office/drawing/2014/chart" uri="{C3380CC4-5D6E-409C-BE32-E72D297353CC}">
              <c16:uniqueId val="{00000000-41C9-41D2-BA7E-E6A59DA2212E}"/>
            </c:ext>
          </c:extLst>
        </c:ser>
        <c:ser>
          <c:idx val="1"/>
          <c:order val="1"/>
          <c:spPr>
            <a:ln w="28575" cap="rnd">
              <a:solidFill>
                <a:schemeClr val="accent2"/>
              </a:solidFill>
              <a:round/>
            </a:ln>
            <a:effectLst/>
          </c:spPr>
          <c:marker>
            <c:symbol val="none"/>
          </c:marker>
          <c:val>
            <c:numRef>
              <c:f>'balança comercial'!$D$6:$D$29</c:f>
              <c:numCache>
                <c:formatCode>General</c:formatCode>
                <c:ptCount val="24"/>
                <c:pt idx="0">
                  <c:v>2.0802399999999999E-2</c:v>
                </c:pt>
                <c:pt idx="1">
                  <c:v>1.01996E-2</c:v>
                </c:pt>
                <c:pt idx="2">
                  <c:v>-2.4031999999999999E-3</c:v>
                </c:pt>
                <c:pt idx="3">
                  <c:v>-8.0059999999999992E-3</c:v>
                </c:pt>
                <c:pt idx="4">
                  <c:v>-1.6088999999999999E-3</c:v>
                </c:pt>
                <c:pt idx="5">
                  <c:v>-2.2117E-3</c:v>
                </c:pt>
                <c:pt idx="6">
                  <c:v>-6.8145000000000002E-3</c:v>
                </c:pt>
                <c:pt idx="7">
                  <c:v>-1.4173E-3</c:v>
                </c:pt>
                <c:pt idx="8">
                  <c:v>-2.0202000000000002E-3</c:v>
                </c:pt>
                <c:pt idx="9">
                  <c:v>3.77E-4</c:v>
                </c:pt>
                <c:pt idx="10">
                  <c:v>-7.2258000000000001E-3</c:v>
                </c:pt>
                <c:pt idx="11">
                  <c:v>-4.8285999999999997E-3</c:v>
                </c:pt>
                <c:pt idx="12">
                  <c:v>3.5685000000000001E-3</c:v>
                </c:pt>
                <c:pt idx="13">
                  <c:v>-1.0342999999999999E-3</c:v>
                </c:pt>
                <c:pt idx="14">
                  <c:v>-6.3710000000000004E-4</c:v>
                </c:pt>
                <c:pt idx="15">
                  <c:v>7.6009999999999999E-4</c:v>
                </c:pt>
                <c:pt idx="16">
                  <c:v>1.1573E-3</c:v>
                </c:pt>
                <c:pt idx="17">
                  <c:v>-4.4559999999999999E-4</c:v>
                </c:pt>
                <c:pt idx="18">
                  <c:v>-1.0483999999999999E-3</c:v>
                </c:pt>
                <c:pt idx="19">
                  <c:v>-9.6512000000000004E-3</c:v>
                </c:pt>
                <c:pt idx="20">
                  <c:v>-9.2540000000000001E-3</c:v>
                </c:pt>
                <c:pt idx="21">
                  <c:v>-4.8568999999999999E-3</c:v>
                </c:pt>
                <c:pt idx="22">
                  <c:v>5.5402999999999997E-3</c:v>
                </c:pt>
                <c:pt idx="23">
                  <c:v>1.0937499999999999E-2</c:v>
                </c:pt>
              </c:numCache>
            </c:numRef>
          </c:val>
          <c:smooth val="0"/>
          <c:extLst>
            <c:ext xmlns:c16="http://schemas.microsoft.com/office/drawing/2014/chart" uri="{C3380CC4-5D6E-409C-BE32-E72D297353CC}">
              <c16:uniqueId val="{00000001-41C9-41D2-BA7E-E6A59DA2212E}"/>
            </c:ext>
          </c:extLst>
        </c:ser>
        <c:ser>
          <c:idx val="2"/>
          <c:order val="2"/>
          <c:spPr>
            <a:ln w="28575" cap="rnd">
              <a:solidFill>
                <a:schemeClr val="accent3"/>
              </a:solidFill>
              <a:round/>
            </a:ln>
            <a:effectLst/>
          </c:spPr>
          <c:marker>
            <c:symbol val="none"/>
          </c:marker>
          <c:val>
            <c:numRef>
              <c:f>'balança comercial'!$E$6:$E$29</c:f>
              <c:numCache>
                <c:formatCode>0.000000</c:formatCode>
                <c:ptCount val="24"/>
                <c:pt idx="0">
                  <c:v>-5.2669078198055597E-3</c:v>
                </c:pt>
                <c:pt idx="1">
                  <c:v>-1.6126655411198801E-2</c:v>
                </c:pt>
                <c:pt idx="2">
                  <c:v>-2.0220631174315499E-2</c:v>
                </c:pt>
                <c:pt idx="3">
                  <c:v>-2.7489744974548098E-2</c:v>
                </c:pt>
                <c:pt idx="4">
                  <c:v>-1.0097066895559901E-2</c:v>
                </c:pt>
                <c:pt idx="5">
                  <c:v>-2.6502750186160998E-2</c:v>
                </c:pt>
                <c:pt idx="6">
                  <c:v>-2.50547419120765E-2</c:v>
                </c:pt>
                <c:pt idx="7">
                  <c:v>-2.5525337893363701E-2</c:v>
                </c:pt>
                <c:pt idx="8">
                  <c:v>-1.6281295342425801E-2</c:v>
                </c:pt>
                <c:pt idx="9">
                  <c:v>-1.8580691060095501E-2</c:v>
                </c:pt>
                <c:pt idx="10">
                  <c:v>-2.5790409947300801E-2</c:v>
                </c:pt>
                <c:pt idx="11">
                  <c:v>-2.5404480332691302E-2</c:v>
                </c:pt>
                <c:pt idx="12">
                  <c:v>-1.1433767012854E-2</c:v>
                </c:pt>
                <c:pt idx="13">
                  <c:v>-2.01511911351821E-2</c:v>
                </c:pt>
                <c:pt idx="14">
                  <c:v>-1.8654015054838598E-2</c:v>
                </c:pt>
                <c:pt idx="15">
                  <c:v>-1.6391676437120601E-2</c:v>
                </c:pt>
                <c:pt idx="16">
                  <c:v>-6.6185808544850996E-3</c:v>
                </c:pt>
                <c:pt idx="17">
                  <c:v>-1.5830292408345301E-2</c:v>
                </c:pt>
                <c:pt idx="18">
                  <c:v>-1.66507881701295E-2</c:v>
                </c:pt>
                <c:pt idx="19">
                  <c:v>-2.4740561219690801E-2</c:v>
                </c:pt>
                <c:pt idx="20">
                  <c:v>-1.6915567182848399E-2</c:v>
                </c:pt>
                <c:pt idx="21">
                  <c:v>-2.1158695237608501E-2</c:v>
                </c:pt>
                <c:pt idx="22">
                  <c:v>-1.0329844586356701E-2</c:v>
                </c:pt>
                <c:pt idx="23">
                  <c:v>-3.6551988306401302E-3</c:v>
                </c:pt>
              </c:numCache>
            </c:numRef>
          </c:val>
          <c:smooth val="0"/>
          <c:extLst>
            <c:ext xmlns:c16="http://schemas.microsoft.com/office/drawing/2014/chart" uri="{C3380CC4-5D6E-409C-BE32-E72D297353CC}">
              <c16:uniqueId val="{00000002-41C9-41D2-BA7E-E6A59DA2212E}"/>
            </c:ext>
          </c:extLst>
        </c:ser>
        <c:dLbls>
          <c:showLegendKey val="0"/>
          <c:showVal val="0"/>
          <c:showCatName val="0"/>
          <c:showSerName val="0"/>
          <c:showPercent val="0"/>
          <c:showBubbleSize val="0"/>
        </c:dLbls>
        <c:smooth val="0"/>
        <c:axId val="468435567"/>
        <c:axId val="417800303"/>
      </c:lineChart>
      <c:catAx>
        <c:axId val="46843556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17800303"/>
        <c:crosses val="autoZero"/>
        <c:auto val="1"/>
        <c:lblAlgn val="ctr"/>
        <c:lblOffset val="100"/>
        <c:noMultiLvlLbl val="0"/>
      </c:catAx>
      <c:valAx>
        <c:axId val="417800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684355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spPr>
            <a:ln w="28575" cap="rnd">
              <a:solidFill>
                <a:schemeClr val="accent1"/>
              </a:solidFill>
              <a:round/>
            </a:ln>
            <a:effectLst/>
          </c:spPr>
          <c:marker>
            <c:symbol val="none"/>
          </c:marker>
          <c:val>
            <c:numRef>
              <c:f>'balança comercial'!$C$6:$C$127</c:f>
              <c:numCache>
                <c:formatCode>General</c:formatCode>
                <c:ptCount val="122"/>
                <c:pt idx="0">
                  <c:v>-1.1050211809110803E-2</c:v>
                </c:pt>
                <c:pt idx="1">
                  <c:v>-1.0207225203976029E-2</c:v>
                </c:pt>
                <c:pt idx="2">
                  <c:v>-1.7678610409455203E-2</c:v>
                </c:pt>
                <c:pt idx="3">
                  <c:v>-3.0172429497923193E-2</c:v>
                </c:pt>
                <c:pt idx="4">
                  <c:v>-1.5880370884865148E-2</c:v>
                </c:pt>
                <c:pt idx="5">
                  <c:v>-2.0583319978938211E-2</c:v>
                </c:pt>
                <c:pt idx="6">
                  <c:v>-2.2512721147216183E-2</c:v>
                </c:pt>
                <c:pt idx="7">
                  <c:v>-2.8208022416738771E-2</c:v>
                </c:pt>
                <c:pt idx="8">
                  <c:v>-2.2064599331731053E-2</c:v>
                </c:pt>
                <c:pt idx="9">
                  <c:v>-1.2661260852872743E-2</c:v>
                </c:pt>
                <c:pt idx="10">
                  <c:v>-2.3248389182440418E-2</c:v>
                </c:pt>
                <c:pt idx="11">
                  <c:v>-2.8087164856066424E-2</c:v>
                </c:pt>
                <c:pt idx="12">
                  <c:v>-1.721707100215928E-2</c:v>
                </c:pt>
                <c:pt idx="13">
                  <c:v>-1.4231760927959284E-2</c:v>
                </c:pt>
                <c:pt idx="14">
                  <c:v>-1.6111994289978261E-2</c:v>
                </c:pt>
                <c:pt idx="15">
                  <c:v>-1.9074360960495741E-2</c:v>
                </c:pt>
                <c:pt idx="16">
                  <c:v>-1.2401884843790343E-2</c:v>
                </c:pt>
                <c:pt idx="17">
                  <c:v>-9.9108622011225677E-3</c:v>
                </c:pt>
                <c:pt idx="18">
                  <c:v>-1.4108767405269196E-2</c:v>
                </c:pt>
                <c:pt idx="19">
                  <c:v>-2.7423245743065934E-2</c:v>
                </c:pt>
                <c:pt idx="20">
                  <c:v>-2.2698871172153613E-2</c:v>
                </c:pt>
                <c:pt idx="21">
                  <c:v>-1.5239265030385694E-2</c:v>
                </c:pt>
                <c:pt idx="22">
                  <c:v>-7.7878238214963546E-3</c:v>
                </c:pt>
                <c:pt idx="23">
                  <c:v>-6.337883354015245E-3</c:v>
                </c:pt>
                <c:pt idx="24">
                  <c:v>-4.8517655314136779E-3</c:v>
                </c:pt>
                <c:pt idx="25">
                  <c:v>-4.3873797284305705E-3</c:v>
                </c:pt>
                <c:pt idx="26">
                  <c:v>2.6450116009280742E-2</c:v>
                </c:pt>
                <c:pt idx="27">
                  <c:v>2.7288073729354868E-2</c:v>
                </c:pt>
                <c:pt idx="28">
                  <c:v>2.226546569974645E-2</c:v>
                </c:pt>
                <c:pt idx="29">
                  <c:v>3.2444463590804003E-2</c:v>
                </c:pt>
                <c:pt idx="30">
                  <c:v>3.6098128484294195E-2</c:v>
                </c:pt>
                <c:pt idx="31">
                  <c:v>3.1908296888194292E-2</c:v>
                </c:pt>
                <c:pt idx="32">
                  <c:v>3.1691749442000705E-2</c:v>
                </c:pt>
                <c:pt idx="33">
                  <c:v>4.3601754918322966E-2</c:v>
                </c:pt>
                <c:pt idx="34">
                  <c:v>4.6190355464627471E-2</c:v>
                </c:pt>
                <c:pt idx="35">
                  <c:v>3.3146240441801193E-2</c:v>
                </c:pt>
                <c:pt idx="36">
                  <c:v>3.4941375332027583E-2</c:v>
                </c:pt>
                <c:pt idx="37">
                  <c:v>3.8616383896074802E-2</c:v>
                </c:pt>
                <c:pt idx="38">
                  <c:v>4.2765874761382126E-2</c:v>
                </c:pt>
                <c:pt idx="39">
                  <c:v>3.4496594196136973E-2</c:v>
                </c:pt>
                <c:pt idx="40">
                  <c:v>2.7008904645263229E-2</c:v>
                </c:pt>
                <c:pt idx="41">
                  <c:v>2.5992599410206804E-2</c:v>
                </c:pt>
                <c:pt idx="42">
                  <c:v>3.8425163101331858E-2</c:v>
                </c:pt>
                <c:pt idx="43">
                  <c:v>2.8885012499712554E-2</c:v>
                </c:pt>
                <c:pt idx="44">
                  <c:v>1.7063526578128659E-2</c:v>
                </c:pt>
                <c:pt idx="45">
                  <c:v>2.2092736849914682E-2</c:v>
                </c:pt>
                <c:pt idx="46">
                  <c:v>1.6091582010596774E-2</c:v>
                </c:pt>
                <c:pt idx="47">
                  <c:v>9.7005821392811102E-3</c:v>
                </c:pt>
                <c:pt idx="48">
                  <c:v>-4.7738743147519268E-3</c:v>
                </c:pt>
                <c:pt idx="49">
                  <c:v>4.7857575644892807E-3</c:v>
                </c:pt>
                <c:pt idx="50">
                  <c:v>3.5604192998043654E-3</c:v>
                </c:pt>
                <c:pt idx="51">
                  <c:v>4.7170615548116877E-5</c:v>
                </c:pt>
                <c:pt idx="52">
                  <c:v>-2.4674164881625213E-3</c:v>
                </c:pt>
                <c:pt idx="53">
                  <c:v>1.26548684193239E-2</c:v>
                </c:pt>
                <c:pt idx="54">
                  <c:v>2.3180657783159024E-3</c:v>
                </c:pt>
                <c:pt idx="55">
                  <c:v>-5.2642256195120458E-3</c:v>
                </c:pt>
                <c:pt idx="56">
                  <c:v>-1.4288374605812185E-2</c:v>
                </c:pt>
                <c:pt idx="57">
                  <c:v>-5.2362622524314683E-3</c:v>
                </c:pt>
                <c:pt idx="58">
                  <c:v>-1.0813285709283187E-2</c:v>
                </c:pt>
                <c:pt idx="59">
                  <c:v>-5.5398448728075584E-3</c:v>
                </c:pt>
                <c:pt idx="60">
                  <c:v>-1.1079302774375598E-2</c:v>
                </c:pt>
                <c:pt idx="61">
                  <c:v>-3.9959141381109503E-3</c:v>
                </c:pt>
                <c:pt idx="62">
                  <c:v>-3.2014609036253527E-3</c:v>
                </c:pt>
                <c:pt idx="63">
                  <c:v>-8.0366860800019872E-3</c:v>
                </c:pt>
                <c:pt idx="64">
                  <c:v>-1.4676367875087542E-2</c:v>
                </c:pt>
                <c:pt idx="65">
                  <c:v>-1.3239758592430631E-2</c:v>
                </c:pt>
                <c:pt idx="66">
                  <c:v>-6.3546619123085049E-3</c:v>
                </c:pt>
                <c:pt idx="67">
                  <c:v>-1.693121178364863E-2</c:v>
                </c:pt>
                <c:pt idx="68">
                  <c:v>-2.9008005209995712E-2</c:v>
                </c:pt>
                <c:pt idx="69">
                  <c:v>-1.8440934065934066E-2</c:v>
                </c:pt>
                <c:pt idx="70">
                  <c:v>-2.3601964486050998E-2</c:v>
                </c:pt>
                <c:pt idx="71">
                  <c:v>-1.7573612980711101E-2</c:v>
                </c:pt>
                <c:pt idx="72">
                  <c:v>-3.2253096946710691E-2</c:v>
                </c:pt>
                <c:pt idx="73">
                  <c:v>-1.8390366659611E-2</c:v>
                </c:pt>
                <c:pt idx="74">
                  <c:v>-2.1812520076219463E-2</c:v>
                </c:pt>
                <c:pt idx="75">
                  <c:v>-3.2511325652815719E-2</c:v>
                </c:pt>
                <c:pt idx="76">
                  <c:v>-3.6425091424555384E-2</c:v>
                </c:pt>
                <c:pt idx="77">
                  <c:v>-1.1511284539126766E-2</c:v>
                </c:pt>
                <c:pt idx="78">
                  <c:v>-7.9372850620661132E-3</c:v>
                </c:pt>
                <c:pt idx="79">
                  <c:v>-2.7177179820579303E-3</c:v>
                </c:pt>
                <c:pt idx="80">
                  <c:v>9.0028774520753137E-4</c:v>
                </c:pt>
                <c:pt idx="81">
                  <c:v>9.3626333752877284E-3</c:v>
                </c:pt>
                <c:pt idx="82">
                  <c:v>5.9809918483318238E-3</c:v>
                </c:pt>
                <c:pt idx="83">
                  <c:v>1.0602969397030602E-3</c:v>
                </c:pt>
                <c:pt idx="84">
                  <c:v>7.85459703733935E-3</c:v>
                </c:pt>
                <c:pt idx="85">
                  <c:v>1.7771365927488795E-2</c:v>
                </c:pt>
                <c:pt idx="86">
                  <c:v>6.507252659564265E-3</c:v>
                </c:pt>
                <c:pt idx="87">
                  <c:v>-1.1640347660399756E-3</c:v>
                </c:pt>
                <c:pt idx="88">
                  <c:v>-1.694971069265235E-4</c:v>
                </c:pt>
                <c:pt idx="89">
                  <c:v>9.6439104109400341E-3</c:v>
                </c:pt>
                <c:pt idx="90">
                  <c:v>-3.9128166613449419E-3</c:v>
                </c:pt>
                <c:pt idx="91">
                  <c:v>4.6788661341913432E-3</c:v>
                </c:pt>
                <c:pt idx="92">
                  <c:v>-7.3969203291336513E-3</c:v>
                </c:pt>
                <c:pt idx="93">
                  <c:v>3.2382781190126147E-3</c:v>
                </c:pt>
                <c:pt idx="94">
                  <c:v>-9.3189812979256482E-3</c:v>
                </c:pt>
                <c:pt idx="95">
                  <c:v>-5.4917169498469517E-3</c:v>
                </c:pt>
                <c:pt idx="96">
                  <c:v>-1.769843720453735E-2</c:v>
                </c:pt>
                <c:pt idx="97">
                  <c:v>2.8685764905205708E-2</c:v>
                </c:pt>
                <c:pt idx="98">
                  <c:v>3.0707462468125345E-2</c:v>
                </c:pt>
                <c:pt idx="99">
                  <c:v>-4.6660133404988462E-3</c:v>
                </c:pt>
                <c:pt idx="100">
                  <c:v>-1.9335773232135301E-2</c:v>
                </c:pt>
                <c:pt idx="101">
                  <c:v>4.6097797538736329E-2</c:v>
                </c:pt>
                <c:pt idx="102">
                  <c:v>2.0423964895670221E-2</c:v>
                </c:pt>
                <c:pt idx="103">
                  <c:v>-1.2394781842555267E-2</c:v>
                </c:pt>
                <c:pt idx="104">
                  <c:v>1.3861510763068638E-3</c:v>
                </c:pt>
                <c:pt idx="105">
                  <c:v>1.6345939258209381E-2</c:v>
                </c:pt>
                <c:pt idx="106">
                  <c:v>-5.1613842703173882E-4</c:v>
                </c:pt>
                <c:pt idx="107">
                  <c:v>1.8589429094520696E-3</c:v>
                </c:pt>
                <c:pt idx="108">
                  <c:v>1.076192588410823E-2</c:v>
                </c:pt>
                <c:pt idx="109">
                  <c:v>2.9120677436354055E-2</c:v>
                </c:pt>
                <c:pt idx="110">
                  <c:v>2.4979538270489952E-2</c:v>
                </c:pt>
                <c:pt idx="111">
                  <c:v>2.2577753162913862E-2</c:v>
                </c:pt>
                <c:pt idx="112">
                  <c:v>9.2634349338800541E-3</c:v>
                </c:pt>
                <c:pt idx="113">
                  <c:v>1.3349374501310841E-2</c:v>
                </c:pt>
                <c:pt idx="114">
                  <c:v>-6.6773962210583179E-4</c:v>
                </c:pt>
                <c:pt idx="115">
                  <c:v>-1.4842413877351576E-3</c:v>
                </c:pt>
                <c:pt idx="116">
                  <c:v>-9.4684147610555099E-3</c:v>
                </c:pt>
                <c:pt idx="117">
                  <c:v>9.8360655737704909E-3</c:v>
                </c:pt>
                <c:pt idx="118">
                  <c:v>1.1597340604012699E-3</c:v>
                </c:pt>
                <c:pt idx="119">
                  <c:v>1.2763020481582388E-2</c:v>
                </c:pt>
                <c:pt idx="120">
                  <c:v>-2.078672496655521E-4</c:v>
                </c:pt>
                <c:pt idx="121">
                  <c:v>1.4904186844125174E-2</c:v>
                </c:pt>
              </c:numCache>
            </c:numRef>
          </c:val>
          <c:smooth val="0"/>
          <c:extLst>
            <c:ext xmlns:c16="http://schemas.microsoft.com/office/drawing/2014/chart" uri="{C3380CC4-5D6E-409C-BE32-E72D297353CC}">
              <c16:uniqueId val="{00000000-C248-47E5-BBDB-05D42BCC4831}"/>
            </c:ext>
          </c:extLst>
        </c:ser>
        <c:ser>
          <c:idx val="1"/>
          <c:order val="1"/>
          <c:spPr>
            <a:ln w="28575" cap="rnd">
              <a:solidFill>
                <a:schemeClr val="accent2"/>
              </a:solidFill>
              <a:round/>
            </a:ln>
            <a:effectLst/>
          </c:spPr>
          <c:marker>
            <c:symbol val="none"/>
          </c:marker>
          <c:val>
            <c:numRef>
              <c:f>'balança comercial'!$D$6:$D$127</c:f>
              <c:numCache>
                <c:formatCode>General</c:formatCode>
                <c:ptCount val="122"/>
                <c:pt idx="0">
                  <c:v>2.0802399999999999E-2</c:v>
                </c:pt>
                <c:pt idx="1">
                  <c:v>1.01996E-2</c:v>
                </c:pt>
                <c:pt idx="2">
                  <c:v>-2.4031999999999999E-3</c:v>
                </c:pt>
                <c:pt idx="3">
                  <c:v>-8.0059999999999992E-3</c:v>
                </c:pt>
                <c:pt idx="4">
                  <c:v>-1.6088999999999999E-3</c:v>
                </c:pt>
                <c:pt idx="5">
                  <c:v>-2.2117E-3</c:v>
                </c:pt>
                <c:pt idx="6">
                  <c:v>-6.8145000000000002E-3</c:v>
                </c:pt>
                <c:pt idx="7">
                  <c:v>-1.4173E-3</c:v>
                </c:pt>
                <c:pt idx="8">
                  <c:v>-2.0202000000000002E-3</c:v>
                </c:pt>
                <c:pt idx="9">
                  <c:v>3.77E-4</c:v>
                </c:pt>
                <c:pt idx="10">
                  <c:v>-7.2258000000000001E-3</c:v>
                </c:pt>
                <c:pt idx="11">
                  <c:v>-4.8285999999999997E-3</c:v>
                </c:pt>
                <c:pt idx="12">
                  <c:v>3.5685000000000001E-3</c:v>
                </c:pt>
                <c:pt idx="13">
                  <c:v>-1.0342999999999999E-3</c:v>
                </c:pt>
                <c:pt idx="14">
                  <c:v>-6.3710000000000004E-4</c:v>
                </c:pt>
                <c:pt idx="15">
                  <c:v>7.6009999999999999E-4</c:v>
                </c:pt>
                <c:pt idx="16">
                  <c:v>1.1573E-3</c:v>
                </c:pt>
                <c:pt idx="17">
                  <c:v>-4.4559999999999999E-4</c:v>
                </c:pt>
                <c:pt idx="18">
                  <c:v>-1.0483999999999999E-3</c:v>
                </c:pt>
                <c:pt idx="19">
                  <c:v>-9.6512000000000004E-3</c:v>
                </c:pt>
                <c:pt idx="20">
                  <c:v>-9.2540000000000001E-3</c:v>
                </c:pt>
                <c:pt idx="21">
                  <c:v>-4.8568999999999999E-3</c:v>
                </c:pt>
                <c:pt idx="22">
                  <c:v>5.5402999999999997E-3</c:v>
                </c:pt>
                <c:pt idx="23">
                  <c:v>1.0937499999999999E-2</c:v>
                </c:pt>
              </c:numCache>
            </c:numRef>
          </c:val>
          <c:smooth val="0"/>
          <c:extLst>
            <c:ext xmlns:c16="http://schemas.microsoft.com/office/drawing/2014/chart" uri="{C3380CC4-5D6E-409C-BE32-E72D297353CC}">
              <c16:uniqueId val="{00000001-C248-47E5-BBDB-05D42BCC4831}"/>
            </c:ext>
          </c:extLst>
        </c:ser>
        <c:ser>
          <c:idx val="2"/>
          <c:order val="2"/>
          <c:spPr>
            <a:ln w="28575" cap="rnd">
              <a:solidFill>
                <a:schemeClr val="accent3"/>
              </a:solidFill>
              <a:round/>
            </a:ln>
            <a:effectLst/>
          </c:spPr>
          <c:marker>
            <c:symbol val="none"/>
          </c:marker>
          <c:val>
            <c:numRef>
              <c:f>'balança comercial'!$E$6:$E$127</c:f>
              <c:numCache>
                <c:formatCode>0.000000</c:formatCode>
                <c:ptCount val="122"/>
                <c:pt idx="0">
                  <c:v>-5.2669078198055597E-3</c:v>
                </c:pt>
                <c:pt idx="1">
                  <c:v>-1.6126655411198801E-2</c:v>
                </c:pt>
                <c:pt idx="2">
                  <c:v>-2.0220631174315499E-2</c:v>
                </c:pt>
                <c:pt idx="3">
                  <c:v>-2.7489744974548098E-2</c:v>
                </c:pt>
                <c:pt idx="4">
                  <c:v>-1.0097066895559901E-2</c:v>
                </c:pt>
                <c:pt idx="5">
                  <c:v>-2.6502750186160998E-2</c:v>
                </c:pt>
                <c:pt idx="6">
                  <c:v>-2.50547419120765E-2</c:v>
                </c:pt>
                <c:pt idx="7">
                  <c:v>-2.5525337893363701E-2</c:v>
                </c:pt>
                <c:pt idx="8">
                  <c:v>-1.6281295342425801E-2</c:v>
                </c:pt>
                <c:pt idx="9">
                  <c:v>-1.8580691060095501E-2</c:v>
                </c:pt>
                <c:pt idx="10">
                  <c:v>-2.5790409947300801E-2</c:v>
                </c:pt>
                <c:pt idx="11">
                  <c:v>-2.5404480332691302E-2</c:v>
                </c:pt>
                <c:pt idx="12">
                  <c:v>-1.1433767012854E-2</c:v>
                </c:pt>
                <c:pt idx="13">
                  <c:v>-2.01511911351821E-2</c:v>
                </c:pt>
                <c:pt idx="14">
                  <c:v>-1.8654015054838598E-2</c:v>
                </c:pt>
                <c:pt idx="15">
                  <c:v>-1.6391676437120601E-2</c:v>
                </c:pt>
                <c:pt idx="16">
                  <c:v>-6.6185808544850996E-3</c:v>
                </c:pt>
                <c:pt idx="17">
                  <c:v>-1.5830292408345301E-2</c:v>
                </c:pt>
                <c:pt idx="18">
                  <c:v>-1.66507881701295E-2</c:v>
                </c:pt>
                <c:pt idx="19">
                  <c:v>-2.4740561219690801E-2</c:v>
                </c:pt>
                <c:pt idx="20">
                  <c:v>-1.6915567182848399E-2</c:v>
                </c:pt>
                <c:pt idx="21">
                  <c:v>-2.1158695237608501E-2</c:v>
                </c:pt>
                <c:pt idx="22">
                  <c:v>-1.0329844586356701E-2</c:v>
                </c:pt>
                <c:pt idx="23">
                  <c:v>-3.6551988306401302E-3</c:v>
                </c:pt>
                <c:pt idx="24">
                  <c:v>9.3153845789156297E-4</c:v>
                </c:pt>
                <c:pt idx="25">
                  <c:v>-1.03068099356533E-2</c:v>
                </c:pt>
                <c:pt idx="26">
                  <c:v>2.3908095244420401E-2</c:v>
                </c:pt>
                <c:pt idx="27">
                  <c:v>2.997075825273E-2</c:v>
                </c:pt>
                <c:pt idx="28">
                  <c:v>2.8048769689051699E-2</c:v>
                </c:pt>
                <c:pt idx="29">
                  <c:v>2.6525033383581201E-2</c:v>
                </c:pt>
                <c:pt idx="30">
                  <c:v>3.3556107719433903E-2</c:v>
                </c:pt>
                <c:pt idx="31">
                  <c:v>3.4590981411569403E-2</c:v>
                </c:pt>
                <c:pt idx="32">
                  <c:v>3.7475053431305999E-2</c:v>
                </c:pt>
                <c:pt idx="33">
                  <c:v>3.7682324711100203E-2</c:v>
                </c:pt>
                <c:pt idx="34">
                  <c:v>4.3648334699767102E-2</c:v>
                </c:pt>
                <c:pt idx="35">
                  <c:v>3.5828924965176298E-2</c:v>
                </c:pt>
                <c:pt idx="36">
                  <c:v>4.07246793213328E-2</c:v>
                </c:pt>
                <c:pt idx="37">
                  <c:v>3.2696953688851997E-2</c:v>
                </c:pt>
                <c:pt idx="38">
                  <c:v>4.0223853996521799E-2</c:v>
                </c:pt>
                <c:pt idx="39">
                  <c:v>3.7179278719512099E-2</c:v>
                </c:pt>
                <c:pt idx="40">
                  <c:v>3.2792208634568498E-2</c:v>
                </c:pt>
                <c:pt idx="41">
                  <c:v>2.0073169202983999E-2</c:v>
                </c:pt>
                <c:pt idx="42">
                  <c:v>3.5883142336471503E-2</c:v>
                </c:pt>
                <c:pt idx="43">
                  <c:v>3.1567697023087697E-2</c:v>
                </c:pt>
                <c:pt idx="44">
                  <c:v>2.28468305674339E-2</c:v>
                </c:pt>
                <c:pt idx="45">
                  <c:v>1.6173306642691902E-2</c:v>
                </c:pt>
                <c:pt idx="46">
                  <c:v>1.35495612457364E-2</c:v>
                </c:pt>
                <c:pt idx="47">
                  <c:v>1.2383266662656199E-2</c:v>
                </c:pt>
                <c:pt idx="48">
                  <c:v>1.00942967455331E-3</c:v>
                </c:pt>
                <c:pt idx="49">
                  <c:v>-1.13367264273349E-3</c:v>
                </c:pt>
                <c:pt idx="50">
                  <c:v>1.01839853494403E-3</c:v>
                </c:pt>
                <c:pt idx="51">
                  <c:v>2.7298551389232299E-3</c:v>
                </c:pt>
                <c:pt idx="52">
                  <c:v>3.3158875011427202E-3</c:v>
                </c:pt>
                <c:pt idx="53">
                  <c:v>6.7354382121011299E-3</c:v>
                </c:pt>
                <c:pt idx="54">
                  <c:v>-2.2395498654443401E-4</c:v>
                </c:pt>
                <c:pt idx="55">
                  <c:v>-2.5815410961369301E-3</c:v>
                </c:pt>
                <c:pt idx="56">
                  <c:v>-8.5050706165069392E-3</c:v>
                </c:pt>
                <c:pt idx="57">
                  <c:v>-1.11556924596542E-2</c:v>
                </c:pt>
                <c:pt idx="58">
                  <c:v>-1.33553064741435E-2</c:v>
                </c:pt>
                <c:pt idx="59">
                  <c:v>-2.8571603494324401E-3</c:v>
                </c:pt>
                <c:pt idx="60">
                  <c:v>-5.29599878507036E-3</c:v>
                </c:pt>
                <c:pt idx="61">
                  <c:v>-9.9153443453337195E-3</c:v>
                </c:pt>
                <c:pt idx="62">
                  <c:v>-5.7434816684856903E-3</c:v>
                </c:pt>
                <c:pt idx="63">
                  <c:v>-5.3540015566268702E-3</c:v>
                </c:pt>
                <c:pt idx="64">
                  <c:v>-8.8930638857822996E-3</c:v>
                </c:pt>
                <c:pt idx="65">
                  <c:v>-1.91591887996534E-2</c:v>
                </c:pt>
                <c:pt idx="66">
                  <c:v>-8.8966826771688396E-3</c:v>
                </c:pt>
                <c:pt idx="67">
                  <c:v>-1.4248527260273499E-2</c:v>
                </c:pt>
                <c:pt idx="68">
                  <c:v>-2.3224701220690501E-2</c:v>
                </c:pt>
                <c:pt idx="69">
                  <c:v>-2.4360364273156802E-2</c:v>
                </c:pt>
                <c:pt idx="70">
                  <c:v>-2.61439852509113E-2</c:v>
                </c:pt>
                <c:pt idx="71">
                  <c:v>-1.4890928457336E-2</c:v>
                </c:pt>
                <c:pt idx="72">
                  <c:v>-2.6469792957405501E-2</c:v>
                </c:pt>
                <c:pt idx="73">
                  <c:v>-2.4309796866833801E-2</c:v>
                </c:pt>
                <c:pt idx="74">
                  <c:v>-2.43545408410798E-2</c:v>
                </c:pt>
                <c:pt idx="75">
                  <c:v>-2.98286411294406E-2</c:v>
                </c:pt>
                <c:pt idx="76">
                  <c:v>-3.06417874352501E-2</c:v>
                </c:pt>
                <c:pt idx="77">
                  <c:v>-1.7430714746349499E-2</c:v>
                </c:pt>
                <c:pt idx="78">
                  <c:v>-1.04793058269264E-2</c:v>
                </c:pt>
                <c:pt idx="79">
                  <c:v>-3.50334586828147E-5</c:v>
                </c:pt>
                <c:pt idx="80">
                  <c:v>6.6835917345127701E-3</c:v>
                </c:pt>
                <c:pt idx="81">
                  <c:v>3.4432031680649601E-3</c:v>
                </c:pt>
                <c:pt idx="82">
                  <c:v>3.43897108347149E-3</c:v>
                </c:pt>
                <c:pt idx="83">
                  <c:v>3.7429814630781798E-3</c:v>
                </c:pt>
                <c:pt idx="84">
                  <c:v>1.3637901026644601E-2</c:v>
                </c:pt>
                <c:pt idx="85">
                  <c:v>1.1851935720266001E-2</c:v>
                </c:pt>
                <c:pt idx="86">
                  <c:v>3.9652318947039304E-3</c:v>
                </c:pt>
                <c:pt idx="87">
                  <c:v>1.5186497573351401E-3</c:v>
                </c:pt>
                <c:pt idx="88">
                  <c:v>5.6138068823787203E-3</c:v>
                </c:pt>
                <c:pt idx="89">
                  <c:v>3.7244802037172701E-3</c:v>
                </c:pt>
                <c:pt idx="90">
                  <c:v>-6.45483742620528E-3</c:v>
                </c:pt>
                <c:pt idx="91">
                  <c:v>7.3615506575664602E-3</c:v>
                </c:pt>
                <c:pt idx="92">
                  <c:v>-1.61361633982841E-3</c:v>
                </c:pt>
                <c:pt idx="93">
                  <c:v>-2.6811520882101501E-3</c:v>
                </c:pt>
                <c:pt idx="94">
                  <c:v>-1.1861002062785999E-2</c:v>
                </c:pt>
                <c:pt idx="95">
                  <c:v>-2.80903242647184E-3</c:v>
                </c:pt>
                <c:pt idx="96">
                  <c:v>-1.1915133215232101E-2</c:v>
                </c:pt>
                <c:pt idx="97">
                  <c:v>2.27663346979829E-2</c:v>
                </c:pt>
                <c:pt idx="98">
                  <c:v>2.8165441703265001E-2</c:v>
                </c:pt>
                <c:pt idx="99">
                  <c:v>-1.9833288171237301E-3</c:v>
                </c:pt>
                <c:pt idx="100">
                  <c:v>-1.3552469242830101E-2</c:v>
                </c:pt>
                <c:pt idx="101">
                  <c:v>4.0178367331513601E-2</c:v>
                </c:pt>
                <c:pt idx="102">
                  <c:v>1.7881944130809901E-2</c:v>
                </c:pt>
                <c:pt idx="103">
                  <c:v>-9.7120973191801505E-3</c:v>
                </c:pt>
                <c:pt idx="104">
                  <c:v>7.1694550656121103E-3</c:v>
                </c:pt>
                <c:pt idx="105">
                  <c:v>1.0426509050986601E-2</c:v>
                </c:pt>
                <c:pt idx="106">
                  <c:v>-3.0581591918920799E-3</c:v>
                </c:pt>
                <c:pt idx="107">
                  <c:v>4.5416274328271902E-3</c:v>
                </c:pt>
                <c:pt idx="108">
                  <c:v>1.6545229873413499E-2</c:v>
                </c:pt>
                <c:pt idx="109">
                  <c:v>2.3201247229131298E-2</c:v>
                </c:pt>
                <c:pt idx="110">
                  <c:v>2.2437517505629601E-2</c:v>
                </c:pt>
                <c:pt idx="111">
                  <c:v>2.5260437686289001E-2</c:v>
                </c:pt>
                <c:pt idx="112">
                  <c:v>1.50467389231853E-2</c:v>
                </c:pt>
                <c:pt idx="113">
                  <c:v>7.4299442940880698E-3</c:v>
                </c:pt>
                <c:pt idx="114">
                  <c:v>-3.2097603869661699E-3</c:v>
                </c:pt>
                <c:pt idx="115">
                  <c:v>1.19844313563996E-3</c:v>
                </c:pt>
                <c:pt idx="116">
                  <c:v>-3.6851107717502701E-3</c:v>
                </c:pt>
                <c:pt idx="117">
                  <c:v>3.91663536654772E-3</c:v>
                </c:pt>
                <c:pt idx="118">
                  <c:v>-1.38228670445907E-3</c:v>
                </c:pt>
                <c:pt idx="119">
                  <c:v>1.54457050049575E-2</c:v>
                </c:pt>
                <c:pt idx="120">
                  <c:v>5.5754367396396902E-3</c:v>
                </c:pt>
                <c:pt idx="121">
                  <c:v>8.9847566369024006E-3</c:v>
                </c:pt>
              </c:numCache>
            </c:numRef>
          </c:val>
          <c:smooth val="0"/>
          <c:extLst>
            <c:ext xmlns:c16="http://schemas.microsoft.com/office/drawing/2014/chart" uri="{C3380CC4-5D6E-409C-BE32-E72D297353CC}">
              <c16:uniqueId val="{00000002-C248-47E5-BBDB-05D42BCC4831}"/>
            </c:ext>
          </c:extLst>
        </c:ser>
        <c:dLbls>
          <c:showLegendKey val="0"/>
          <c:showVal val="0"/>
          <c:showCatName val="0"/>
          <c:showSerName val="0"/>
          <c:showPercent val="0"/>
          <c:showBubbleSize val="0"/>
        </c:dLbls>
        <c:smooth val="0"/>
        <c:axId val="468435567"/>
        <c:axId val="417800303"/>
      </c:lineChart>
      <c:catAx>
        <c:axId val="46843556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17800303"/>
        <c:crosses val="autoZero"/>
        <c:auto val="1"/>
        <c:lblAlgn val="ctr"/>
        <c:lblOffset val="100"/>
        <c:noMultiLvlLbl val="0"/>
      </c:catAx>
      <c:valAx>
        <c:axId val="417800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684355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spPr>
            <a:ln w="28575" cap="rnd">
              <a:solidFill>
                <a:schemeClr val="accent1"/>
              </a:solidFill>
              <a:round/>
            </a:ln>
            <a:effectLst/>
          </c:spPr>
          <c:marker>
            <c:symbol val="none"/>
          </c:marker>
          <c:val>
            <c:numRef>
              <c:f>'PIB em dol'!$G$4:$G$125</c:f>
              <c:numCache>
                <c:formatCode>General</c:formatCode>
                <c:ptCount val="122"/>
                <c:pt idx="0">
                  <c:v>199236</c:v>
                </c:pt>
                <c:pt idx="1">
                  <c:v>207745</c:v>
                </c:pt>
                <c:pt idx="2">
                  <c:v>224469</c:v>
                </c:pt>
                <c:pt idx="3">
                  <c:v>219568</c:v>
                </c:pt>
                <c:pt idx="4">
                  <c:v>208043</c:v>
                </c:pt>
                <c:pt idx="5">
                  <c:v>218405</c:v>
                </c:pt>
                <c:pt idx="6">
                  <c:v>229146</c:v>
                </c:pt>
                <c:pt idx="7">
                  <c:v>227687</c:v>
                </c:pt>
                <c:pt idx="8">
                  <c:v>204708</c:v>
                </c:pt>
                <c:pt idx="9">
                  <c:v>216187</c:v>
                </c:pt>
                <c:pt idx="10">
                  <c:v>224265</c:v>
                </c:pt>
                <c:pt idx="11">
                  <c:v>218712</c:v>
                </c:pt>
                <c:pt idx="12">
                  <c:v>141714</c:v>
                </c:pt>
                <c:pt idx="13">
                  <c:v>148541</c:v>
                </c:pt>
                <c:pt idx="14">
                  <c:v>154115</c:v>
                </c:pt>
                <c:pt idx="15">
                  <c:v>154920</c:v>
                </c:pt>
                <c:pt idx="16">
                  <c:v>154920</c:v>
                </c:pt>
                <c:pt idx="17">
                  <c:v>161772</c:v>
                </c:pt>
                <c:pt idx="18">
                  <c:v>169058</c:v>
                </c:pt>
                <c:pt idx="19">
                  <c:v>169958</c:v>
                </c:pt>
                <c:pt idx="20">
                  <c:v>135716</c:v>
                </c:pt>
                <c:pt idx="21">
                  <c:v>140033</c:v>
                </c:pt>
                <c:pt idx="22">
                  <c:v>142787</c:v>
                </c:pt>
                <c:pt idx="23">
                  <c:v>141025</c:v>
                </c:pt>
                <c:pt idx="24">
                  <c:v>119709</c:v>
                </c:pt>
                <c:pt idx="25">
                  <c:v>125861</c:v>
                </c:pt>
                <c:pt idx="26">
                  <c:v>131024</c:v>
                </c:pt>
                <c:pt idx="27">
                  <c:v>131508</c:v>
                </c:pt>
                <c:pt idx="28">
                  <c:v>112798</c:v>
                </c:pt>
                <c:pt idx="29">
                  <c:v>139278</c:v>
                </c:pt>
                <c:pt idx="30">
                  <c:v>148703</c:v>
                </c:pt>
                <c:pt idx="31">
                  <c:v>158686</c:v>
                </c:pt>
                <c:pt idx="32">
                  <c:v>153226</c:v>
                </c:pt>
                <c:pt idx="33">
                  <c:v>158184</c:v>
                </c:pt>
                <c:pt idx="34">
                  <c:v>169609</c:v>
                </c:pt>
                <c:pt idx="35">
                  <c:v>188320</c:v>
                </c:pt>
                <c:pt idx="36">
                  <c:v>186355</c:v>
                </c:pt>
                <c:pt idx="37">
                  <c:v>214308</c:v>
                </c:pt>
                <c:pt idx="38">
                  <c:v>234161</c:v>
                </c:pt>
                <c:pt idx="39">
                  <c:v>257208</c:v>
                </c:pt>
                <c:pt idx="40">
                  <c:v>251891</c:v>
                </c:pt>
                <c:pt idx="41">
                  <c:v>266195</c:v>
                </c:pt>
                <c:pt idx="42">
                  <c:v>284639</c:v>
                </c:pt>
                <c:pt idx="43">
                  <c:v>304407</c:v>
                </c:pt>
                <c:pt idx="44">
                  <c:v>298930</c:v>
                </c:pt>
                <c:pt idx="45">
                  <c:v>336975</c:v>
                </c:pt>
                <c:pt idx="46">
                  <c:v>358411</c:v>
                </c:pt>
                <c:pt idx="47">
                  <c:v>402481</c:v>
                </c:pt>
                <c:pt idx="48">
                  <c:v>404598</c:v>
                </c:pt>
                <c:pt idx="49">
                  <c:v>457169</c:v>
                </c:pt>
                <c:pt idx="50">
                  <c:v>479466</c:v>
                </c:pt>
                <c:pt idx="51">
                  <c:v>351914</c:v>
                </c:pt>
                <c:pt idx="52">
                  <c:v>320254</c:v>
                </c:pt>
                <c:pt idx="53">
                  <c:v>380565</c:v>
                </c:pt>
                <c:pt idx="54">
                  <c:v>449297</c:v>
                </c:pt>
                <c:pt idx="55">
                  <c:v>522508</c:v>
                </c:pt>
                <c:pt idx="56">
                  <c:v>488663</c:v>
                </c:pt>
                <c:pt idx="57">
                  <c:v>525814</c:v>
                </c:pt>
                <c:pt idx="58">
                  <c:v>571140</c:v>
                </c:pt>
                <c:pt idx="59">
                  <c:v>624133</c:v>
                </c:pt>
                <c:pt idx="60">
                  <c:v>609903</c:v>
                </c:pt>
                <c:pt idx="61">
                  <c:v>680395</c:v>
                </c:pt>
                <c:pt idx="62">
                  <c:v>680127</c:v>
                </c:pt>
                <c:pt idx="63">
                  <c:v>644059</c:v>
                </c:pt>
                <c:pt idx="64">
                  <c:v>638271</c:v>
                </c:pt>
                <c:pt idx="65">
                  <c:v>602798</c:v>
                </c:pt>
                <c:pt idx="66">
                  <c:v>605760</c:v>
                </c:pt>
                <c:pt idx="67">
                  <c:v>616719</c:v>
                </c:pt>
                <c:pt idx="68">
                  <c:v>620346</c:v>
                </c:pt>
                <c:pt idx="69">
                  <c:v>637728</c:v>
                </c:pt>
                <c:pt idx="70">
                  <c:v>590078</c:v>
                </c:pt>
                <c:pt idx="71">
                  <c:v>620305</c:v>
                </c:pt>
                <c:pt idx="72">
                  <c:v>586384</c:v>
                </c:pt>
                <c:pt idx="73">
                  <c:v>637785</c:v>
                </c:pt>
                <c:pt idx="74">
                  <c:v>641306</c:v>
                </c:pt>
                <c:pt idx="75">
                  <c:v>589370</c:v>
                </c:pt>
                <c:pt idx="76">
                  <c:v>503694</c:v>
                </c:pt>
                <c:pt idx="77">
                  <c:v>474100</c:v>
                </c:pt>
                <c:pt idx="78">
                  <c:v>420761</c:v>
                </c:pt>
                <c:pt idx="79">
                  <c:v>397613</c:v>
                </c:pt>
                <c:pt idx="80">
                  <c:v>380545</c:v>
                </c:pt>
                <c:pt idx="81">
                  <c:v>440955</c:v>
                </c:pt>
                <c:pt idx="82">
                  <c:v>483582</c:v>
                </c:pt>
                <c:pt idx="83">
                  <c:v>495050</c:v>
                </c:pt>
                <c:pt idx="84">
                  <c:v>504749</c:v>
                </c:pt>
                <c:pt idx="85">
                  <c:v>508087</c:v>
                </c:pt>
                <c:pt idx="86">
                  <c:v>521326</c:v>
                </c:pt>
                <c:pt idx="87">
                  <c:v>529022</c:v>
                </c:pt>
                <c:pt idx="88">
                  <c:v>516233</c:v>
                </c:pt>
                <c:pt idx="89">
                  <c:v>479121</c:v>
                </c:pt>
                <c:pt idx="90">
                  <c:v>444718</c:v>
                </c:pt>
                <c:pt idx="91">
                  <c:v>476141</c:v>
                </c:pt>
                <c:pt idx="92">
                  <c:v>465829</c:v>
                </c:pt>
                <c:pt idx="93">
                  <c:v>466606</c:v>
                </c:pt>
                <c:pt idx="94">
                  <c:v>474172</c:v>
                </c:pt>
                <c:pt idx="95">
                  <c:v>466193</c:v>
                </c:pt>
                <c:pt idx="96">
                  <c:v>417777</c:v>
                </c:pt>
                <c:pt idx="97">
                  <c:v>322857</c:v>
                </c:pt>
                <c:pt idx="98">
                  <c:v>355298</c:v>
                </c:pt>
                <c:pt idx="99">
                  <c:v>379596</c:v>
                </c:pt>
                <c:pt idx="100">
                  <c:v>392366</c:v>
                </c:pt>
                <c:pt idx="101">
                  <c:v>416534</c:v>
                </c:pt>
                <c:pt idx="102">
                  <c:v>439376</c:v>
                </c:pt>
                <c:pt idx="103">
                  <c:v>422218</c:v>
                </c:pt>
                <c:pt idx="104">
                  <c:v>444901</c:v>
                </c:pt>
                <c:pt idx="105">
                  <c:v>510818</c:v>
                </c:pt>
                <c:pt idx="106">
                  <c:v>494441</c:v>
                </c:pt>
                <c:pt idx="107">
                  <c:v>501414</c:v>
                </c:pt>
                <c:pt idx="108">
                  <c:v>495980</c:v>
                </c:pt>
                <c:pt idx="109">
                  <c:v>550310</c:v>
                </c:pt>
                <c:pt idx="110">
                  <c:v>566912</c:v>
                </c:pt>
                <c:pt idx="111">
                  <c:v>577790</c:v>
                </c:pt>
                <c:pt idx="112">
                  <c:v>557018</c:v>
                </c:pt>
                <c:pt idx="113">
                  <c:v>561472</c:v>
                </c:pt>
                <c:pt idx="114">
                  <c:v>542427</c:v>
                </c:pt>
                <c:pt idx="115">
                  <c:v>523904</c:v>
                </c:pt>
                <c:pt idx="116">
                  <c:v>516982</c:v>
                </c:pt>
                <c:pt idx="117">
                  <c:v>563762</c:v>
                </c:pt>
                <c:pt idx="118">
                  <c:v>593067</c:v>
                </c:pt>
                <c:pt idx="119">
                  <c:v>607082</c:v>
                </c:pt>
                <c:pt idx="120">
                  <c:v>618183</c:v>
                </c:pt>
                <c:pt idx="121">
                  <c:v>678769</c:v>
                </c:pt>
              </c:numCache>
            </c:numRef>
          </c:val>
          <c:smooth val="0"/>
          <c:extLst>
            <c:ext xmlns:c16="http://schemas.microsoft.com/office/drawing/2014/chart" uri="{C3380CC4-5D6E-409C-BE32-E72D297353CC}">
              <c16:uniqueId val="{00000000-C890-4E6F-BF51-E2F9DD13DDB7}"/>
            </c:ext>
          </c:extLst>
        </c:ser>
        <c:ser>
          <c:idx val="1"/>
          <c:order val="1"/>
          <c:spPr>
            <a:ln w="28575" cap="rnd">
              <a:solidFill>
                <a:schemeClr val="accent2"/>
              </a:solidFill>
              <a:round/>
            </a:ln>
            <a:effectLst/>
          </c:spPr>
          <c:marker>
            <c:symbol val="none"/>
          </c:marker>
          <c:val>
            <c:numRef>
              <c:f>'PIB em dol'!$J$4:$J$125</c:f>
              <c:numCache>
                <c:formatCode>General</c:formatCode>
                <c:ptCount val="122"/>
                <c:pt idx="0">
                  <c:v>195956.25</c:v>
                </c:pt>
                <c:pt idx="1">
                  <c:v>199754.75</c:v>
                </c:pt>
                <c:pt idx="2">
                  <c:v>206426.5</c:v>
                </c:pt>
                <c:pt idx="3">
                  <c:v>212754.5</c:v>
                </c:pt>
                <c:pt idx="4">
                  <c:v>214956.25</c:v>
                </c:pt>
                <c:pt idx="5">
                  <c:v>217621.25</c:v>
                </c:pt>
                <c:pt idx="6">
                  <c:v>218790.5</c:v>
                </c:pt>
                <c:pt idx="7">
                  <c:v>220820.25</c:v>
                </c:pt>
                <c:pt idx="8">
                  <c:v>219986.5</c:v>
                </c:pt>
                <c:pt idx="9">
                  <c:v>219432</c:v>
                </c:pt>
                <c:pt idx="10">
                  <c:v>218211.75</c:v>
                </c:pt>
                <c:pt idx="11">
                  <c:v>215968</c:v>
                </c:pt>
                <c:pt idx="12">
                  <c:v>200219.5</c:v>
                </c:pt>
                <c:pt idx="13">
                  <c:v>183308</c:v>
                </c:pt>
                <c:pt idx="14">
                  <c:v>165770.5</c:v>
                </c:pt>
                <c:pt idx="15">
                  <c:v>149822.5</c:v>
                </c:pt>
                <c:pt idx="16">
                  <c:v>153124</c:v>
                </c:pt>
                <c:pt idx="17">
                  <c:v>156431.75</c:v>
                </c:pt>
                <c:pt idx="18">
                  <c:v>160167.5</c:v>
                </c:pt>
                <c:pt idx="19">
                  <c:v>163927</c:v>
                </c:pt>
                <c:pt idx="20">
                  <c:v>159126</c:v>
                </c:pt>
                <c:pt idx="21">
                  <c:v>153691.25</c:v>
                </c:pt>
                <c:pt idx="22">
                  <c:v>147123.5</c:v>
                </c:pt>
                <c:pt idx="23">
                  <c:v>139890.25</c:v>
                </c:pt>
                <c:pt idx="24">
                  <c:v>135888.5</c:v>
                </c:pt>
                <c:pt idx="25">
                  <c:v>132345.5</c:v>
                </c:pt>
                <c:pt idx="26">
                  <c:v>129404.75</c:v>
                </c:pt>
                <c:pt idx="27">
                  <c:v>127025.5</c:v>
                </c:pt>
                <c:pt idx="28">
                  <c:v>125297.75</c:v>
                </c:pt>
                <c:pt idx="29">
                  <c:v>128652</c:v>
                </c:pt>
                <c:pt idx="30">
                  <c:v>133071.75</c:v>
                </c:pt>
                <c:pt idx="31">
                  <c:v>139866.25</c:v>
                </c:pt>
                <c:pt idx="32">
                  <c:v>149973.25</c:v>
                </c:pt>
                <c:pt idx="33">
                  <c:v>154699.75</c:v>
                </c:pt>
                <c:pt idx="34">
                  <c:v>159926.25</c:v>
                </c:pt>
                <c:pt idx="35">
                  <c:v>167334.75</c:v>
                </c:pt>
                <c:pt idx="36">
                  <c:v>175617</c:v>
                </c:pt>
                <c:pt idx="37">
                  <c:v>189648</c:v>
                </c:pt>
                <c:pt idx="38">
                  <c:v>205786</c:v>
                </c:pt>
                <c:pt idx="39">
                  <c:v>223008</c:v>
                </c:pt>
                <c:pt idx="40">
                  <c:v>239392</c:v>
                </c:pt>
                <c:pt idx="41">
                  <c:v>252363.75</c:v>
                </c:pt>
                <c:pt idx="42">
                  <c:v>264983.25</c:v>
                </c:pt>
                <c:pt idx="43">
                  <c:v>276783</c:v>
                </c:pt>
                <c:pt idx="44">
                  <c:v>288542.75</c:v>
                </c:pt>
                <c:pt idx="45">
                  <c:v>306237.75</c:v>
                </c:pt>
                <c:pt idx="46">
                  <c:v>324680.75</c:v>
                </c:pt>
                <c:pt idx="47">
                  <c:v>349199.25</c:v>
                </c:pt>
                <c:pt idx="48">
                  <c:v>375616.25</c:v>
                </c:pt>
                <c:pt idx="49">
                  <c:v>405664.75</c:v>
                </c:pt>
                <c:pt idx="50">
                  <c:v>435928.5</c:v>
                </c:pt>
                <c:pt idx="51">
                  <c:v>423286.75</c:v>
                </c:pt>
                <c:pt idx="52">
                  <c:v>402200.75</c:v>
                </c:pt>
                <c:pt idx="53">
                  <c:v>383049.75</c:v>
                </c:pt>
                <c:pt idx="54">
                  <c:v>375507.5</c:v>
                </c:pt>
                <c:pt idx="55">
                  <c:v>418156</c:v>
                </c:pt>
                <c:pt idx="56">
                  <c:v>460258.25</c:v>
                </c:pt>
                <c:pt idx="57">
                  <c:v>496570.5</c:v>
                </c:pt>
                <c:pt idx="58">
                  <c:v>527031.25</c:v>
                </c:pt>
                <c:pt idx="59">
                  <c:v>552437.5</c:v>
                </c:pt>
                <c:pt idx="60">
                  <c:v>582747.5</c:v>
                </c:pt>
                <c:pt idx="61">
                  <c:v>621392.75</c:v>
                </c:pt>
                <c:pt idx="62">
                  <c:v>648639.5</c:v>
                </c:pt>
                <c:pt idx="63">
                  <c:v>653621</c:v>
                </c:pt>
                <c:pt idx="64">
                  <c:v>660713</c:v>
                </c:pt>
                <c:pt idx="65">
                  <c:v>641313.75</c:v>
                </c:pt>
                <c:pt idx="66">
                  <c:v>622722</c:v>
                </c:pt>
                <c:pt idx="67">
                  <c:v>615887</c:v>
                </c:pt>
                <c:pt idx="68">
                  <c:v>611405.75</c:v>
                </c:pt>
                <c:pt idx="69">
                  <c:v>620138.25</c:v>
                </c:pt>
                <c:pt idx="70">
                  <c:v>616217.75</c:v>
                </c:pt>
                <c:pt idx="71">
                  <c:v>617114.25</c:v>
                </c:pt>
                <c:pt idx="72">
                  <c:v>608623.75</c:v>
                </c:pt>
                <c:pt idx="73">
                  <c:v>608638</c:v>
                </c:pt>
                <c:pt idx="74">
                  <c:v>621445</c:v>
                </c:pt>
                <c:pt idx="75">
                  <c:v>613711.25</c:v>
                </c:pt>
                <c:pt idx="76">
                  <c:v>593038.75</c:v>
                </c:pt>
                <c:pt idx="77">
                  <c:v>552117.5</c:v>
                </c:pt>
                <c:pt idx="78">
                  <c:v>496981.25</c:v>
                </c:pt>
                <c:pt idx="79">
                  <c:v>449042</c:v>
                </c:pt>
                <c:pt idx="80">
                  <c:v>418254.75</c:v>
                </c:pt>
                <c:pt idx="81">
                  <c:v>409968.5</c:v>
                </c:pt>
                <c:pt idx="82">
                  <c:v>425673.75</c:v>
                </c:pt>
                <c:pt idx="83">
                  <c:v>450033</c:v>
                </c:pt>
                <c:pt idx="84">
                  <c:v>481084</c:v>
                </c:pt>
                <c:pt idx="85">
                  <c:v>497867</c:v>
                </c:pt>
                <c:pt idx="86">
                  <c:v>507303</c:v>
                </c:pt>
                <c:pt idx="87">
                  <c:v>515796</c:v>
                </c:pt>
                <c:pt idx="88">
                  <c:v>518667</c:v>
                </c:pt>
                <c:pt idx="89">
                  <c:v>511425.5</c:v>
                </c:pt>
                <c:pt idx="90">
                  <c:v>492273.5</c:v>
                </c:pt>
                <c:pt idx="91">
                  <c:v>479053.25</c:v>
                </c:pt>
                <c:pt idx="92">
                  <c:v>466452.25</c:v>
                </c:pt>
                <c:pt idx="93">
                  <c:v>463323.5</c:v>
                </c:pt>
                <c:pt idx="94">
                  <c:v>470687</c:v>
                </c:pt>
                <c:pt idx="95">
                  <c:v>468200</c:v>
                </c:pt>
                <c:pt idx="96">
                  <c:v>456187</c:v>
                </c:pt>
                <c:pt idx="97">
                  <c:v>420249.75</c:v>
                </c:pt>
                <c:pt idx="98">
                  <c:v>390531.25</c:v>
                </c:pt>
                <c:pt idx="99">
                  <c:v>368882</c:v>
                </c:pt>
                <c:pt idx="100">
                  <c:v>362529.25</c:v>
                </c:pt>
                <c:pt idx="101">
                  <c:v>385948.5</c:v>
                </c:pt>
                <c:pt idx="102">
                  <c:v>406968</c:v>
                </c:pt>
                <c:pt idx="103">
                  <c:v>417623.5</c:v>
                </c:pt>
                <c:pt idx="104">
                  <c:v>430757.25</c:v>
                </c:pt>
                <c:pt idx="105">
                  <c:v>454328.25</c:v>
                </c:pt>
                <c:pt idx="106">
                  <c:v>468094.5</c:v>
                </c:pt>
                <c:pt idx="107">
                  <c:v>487893.5</c:v>
                </c:pt>
                <c:pt idx="108">
                  <c:v>500663.25</c:v>
                </c:pt>
                <c:pt idx="109">
                  <c:v>510536.25</c:v>
                </c:pt>
                <c:pt idx="110">
                  <c:v>528654</c:v>
                </c:pt>
                <c:pt idx="111">
                  <c:v>547748</c:v>
                </c:pt>
                <c:pt idx="112">
                  <c:v>563007.5</c:v>
                </c:pt>
                <c:pt idx="113">
                  <c:v>565798</c:v>
                </c:pt>
                <c:pt idx="114">
                  <c:v>559676.75</c:v>
                </c:pt>
                <c:pt idx="115">
                  <c:v>546205.25</c:v>
                </c:pt>
                <c:pt idx="116">
                  <c:v>536196.25</c:v>
                </c:pt>
                <c:pt idx="117">
                  <c:v>536768.75</c:v>
                </c:pt>
                <c:pt idx="118">
                  <c:v>549428.75</c:v>
                </c:pt>
                <c:pt idx="119">
                  <c:v>570223.25</c:v>
                </c:pt>
                <c:pt idx="120">
                  <c:v>595523.5</c:v>
                </c:pt>
                <c:pt idx="121">
                  <c:v>624275.25</c:v>
                </c:pt>
              </c:numCache>
            </c:numRef>
          </c:val>
          <c:smooth val="0"/>
          <c:extLst>
            <c:ext xmlns:c16="http://schemas.microsoft.com/office/drawing/2014/chart" uri="{C3380CC4-5D6E-409C-BE32-E72D297353CC}">
              <c16:uniqueId val="{00000001-C890-4E6F-BF51-E2F9DD13DDB7}"/>
            </c:ext>
          </c:extLst>
        </c:ser>
        <c:dLbls>
          <c:showLegendKey val="0"/>
          <c:showVal val="0"/>
          <c:showCatName val="0"/>
          <c:showSerName val="0"/>
          <c:showPercent val="0"/>
          <c:showBubbleSize val="0"/>
        </c:dLbls>
        <c:smooth val="0"/>
        <c:axId val="1726921712"/>
        <c:axId val="1545912048"/>
      </c:lineChart>
      <c:catAx>
        <c:axId val="172692171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545912048"/>
        <c:crosses val="autoZero"/>
        <c:auto val="1"/>
        <c:lblAlgn val="ctr"/>
        <c:lblOffset val="100"/>
        <c:noMultiLvlLbl val="0"/>
      </c:catAx>
      <c:valAx>
        <c:axId val="1545912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7269217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tx>
            <c:v>serie sintetizada</c:v>
          </c:tx>
          <c:spPr>
            <a:ln w="15875" cap="rnd">
              <a:solidFill>
                <a:schemeClr val="accent1"/>
              </a:solidFill>
              <a:prstDash val="sysDot"/>
              <a:round/>
            </a:ln>
            <a:effectLst/>
          </c:spPr>
          <c:marker>
            <c:symbol val="none"/>
          </c:marker>
          <c:val>
            <c:numRef>
              <c:f>logRus!$G$6:$G$135</c:f>
              <c:numCache>
                <c:formatCode>0.000000</c:formatCode>
                <c:ptCount val="130"/>
                <c:pt idx="0">
                  <c:v>1.3200218559034443E-2</c:v>
                </c:pt>
                <c:pt idx="1">
                  <c:v>2.0667611635574644E-2</c:v>
                </c:pt>
                <c:pt idx="2">
                  <c:v>2.5664051663820339E-2</c:v>
                </c:pt>
                <c:pt idx="3">
                  <c:v>3.5286469924333548E-2</c:v>
                </c:pt>
                <c:pt idx="4">
                  <c:v>3.6067621536369956E-2</c:v>
                </c:pt>
                <c:pt idx="5">
                  <c:v>3.353997047859382E-2</c:v>
                </c:pt>
                <c:pt idx="6">
                  <c:v>3.235500618176048E-2</c:v>
                </c:pt>
                <c:pt idx="7">
                  <c:v>3.1628383883764703E-2</c:v>
                </c:pt>
                <c:pt idx="8">
                  <c:v>3.0429713759487879E-2</c:v>
                </c:pt>
                <c:pt idx="9">
                  <c:v>3.2328428272089219E-2</c:v>
                </c:pt>
                <c:pt idx="10">
                  <c:v>3.4068247364319786E-2</c:v>
                </c:pt>
                <c:pt idx="11">
                  <c:v>3.164203494304195E-2</c:v>
                </c:pt>
                <c:pt idx="12">
                  <c:v>3.2776733594188139E-2</c:v>
                </c:pt>
                <c:pt idx="13">
                  <c:v>3.2925560417302595E-2</c:v>
                </c:pt>
                <c:pt idx="14">
                  <c:v>3.1932465983198412E-2</c:v>
                </c:pt>
                <c:pt idx="15">
                  <c:v>3.6029587955556698E-2</c:v>
                </c:pt>
                <c:pt idx="16">
                  <c:v>3.922420619048634E-2</c:v>
                </c:pt>
                <c:pt idx="17">
                  <c:v>3.8471198350548685E-2</c:v>
                </c:pt>
                <c:pt idx="18">
                  <c:v>3.4976429555677341E-2</c:v>
                </c:pt>
                <c:pt idx="19">
                  <c:v>3.31952652203856E-2</c:v>
                </c:pt>
                <c:pt idx="20">
                  <c:v>3.2052182446571272E-2</c:v>
                </c:pt>
                <c:pt idx="21">
                  <c:v>3.2063058999885569E-2</c:v>
                </c:pt>
                <c:pt idx="22">
                  <c:v>3.3717187452836084E-2</c:v>
                </c:pt>
                <c:pt idx="23">
                  <c:v>3.6137613292121236E-2</c:v>
                </c:pt>
                <c:pt idx="24">
                  <c:v>3.7475364033453563E-2</c:v>
                </c:pt>
                <c:pt idx="25">
                  <c:v>3.505460400017843E-2</c:v>
                </c:pt>
                <c:pt idx="26">
                  <c:v>3.5768505900038203E-2</c:v>
                </c:pt>
                <c:pt idx="27">
                  <c:v>3.3659557426400623E-2</c:v>
                </c:pt>
                <c:pt idx="28">
                  <c:v>2.0403535744829553E-2</c:v>
                </c:pt>
                <c:pt idx="29">
                  <c:v>1.1286791338612887E-2</c:v>
                </c:pt>
                <c:pt idx="30">
                  <c:v>4.6637517626065004E-3</c:v>
                </c:pt>
                <c:pt idx="31">
                  <c:v>-2.5796958212600347E-3</c:v>
                </c:pt>
                <c:pt idx="32">
                  <c:v>1.937465523063731E-3</c:v>
                </c:pt>
                <c:pt idx="33">
                  <c:v>3.4667721517200349E-3</c:v>
                </c:pt>
                <c:pt idx="34">
                  <c:v>1.925658514892124E-3</c:v>
                </c:pt>
                <c:pt idx="35">
                  <c:v>-5.1657954588887256E-3</c:v>
                </c:pt>
                <c:pt idx="36">
                  <c:v>-7.4965142696228728E-3</c:v>
                </c:pt>
                <c:pt idx="37">
                  <c:v>-9.6020533285504379E-3</c:v>
                </c:pt>
                <c:pt idx="38">
                  <c:v>-1.0329787106222538E-2</c:v>
                </c:pt>
                <c:pt idx="39">
                  <c:v>-1.1114890723402875E-2</c:v>
                </c:pt>
                <c:pt idx="40">
                  <c:v>-1.2947135522829127E-2</c:v>
                </c:pt>
                <c:pt idx="41">
                  <c:v>-1.4108947083798437E-2</c:v>
                </c:pt>
                <c:pt idx="42">
                  <c:v>-1.0890810811474411E-2</c:v>
                </c:pt>
                <c:pt idx="43">
                  <c:v>-7.2407312509431901E-3</c:v>
                </c:pt>
                <c:pt idx="44">
                  <c:v>-2.4203023218602659E-3</c:v>
                </c:pt>
                <c:pt idx="45">
                  <c:v>7.6734801154482526E-4</c:v>
                </c:pt>
                <c:pt idx="46">
                  <c:v>2.3780678203736915E-3</c:v>
                </c:pt>
                <c:pt idx="47">
                  <c:v>6.547451797771193E-3</c:v>
                </c:pt>
                <c:pt idx="48">
                  <c:v>1.3763885804036388E-2</c:v>
                </c:pt>
                <c:pt idx="49">
                  <c:v>1.5017918166557606E-2</c:v>
                </c:pt>
                <c:pt idx="50">
                  <c:v>1.723008495317924E-2</c:v>
                </c:pt>
                <c:pt idx="51">
                  <c:v>2.2212116718202859E-2</c:v>
                </c:pt>
                <c:pt idx="52">
                  <c:v>2.0860475882872841E-2</c:v>
                </c:pt>
                <c:pt idx="53">
                  <c:v>1.9384957632965463E-2</c:v>
                </c:pt>
                <c:pt idx="54">
                  <c:v>1.3709907936891081E-2</c:v>
                </c:pt>
                <c:pt idx="55">
                  <c:v>4.3552008789603932E-3</c:v>
                </c:pt>
                <c:pt idx="56">
                  <c:v>-7.4011637669409488E-3</c:v>
                </c:pt>
                <c:pt idx="57">
                  <c:v>7.0607568402915918E-4</c:v>
                </c:pt>
                <c:pt idx="58">
                  <c:v>-8.6427457449481347E-3</c:v>
                </c:pt>
                <c:pt idx="59">
                  <c:v>-1.8152364451889412E-2</c:v>
                </c:pt>
                <c:pt idx="60">
                  <c:v>-1.1758992984245657E-2</c:v>
                </c:pt>
                <c:pt idx="61">
                  <c:v>-5.6708674555023863E-3</c:v>
                </c:pt>
                <c:pt idx="62">
                  <c:v>4.690277671041201E-5</c:v>
                </c:pt>
                <c:pt idx="63">
                  <c:v>-1.3869133917832818E-3</c:v>
                </c:pt>
                <c:pt idx="64">
                  <c:v>-4.0602354827026944E-3</c:v>
                </c:pt>
                <c:pt idx="65">
                  <c:v>-1.0885738638945264E-2</c:v>
                </c:pt>
                <c:pt idx="66">
                  <c:v>-1.2435424929552959E-2</c:v>
                </c:pt>
                <c:pt idx="67">
                  <c:v>-1.5165933690883831E-2</c:v>
                </c:pt>
                <c:pt idx="68">
                  <c:v>-1.7804081032082877E-2</c:v>
                </c:pt>
                <c:pt idx="69">
                  <c:v>-2.0129754837535211E-2</c:v>
                </c:pt>
                <c:pt idx="70">
                  <c:v>-2.3393876067287447E-2</c:v>
                </c:pt>
                <c:pt idx="71">
                  <c:v>-1.8796228127719569E-2</c:v>
                </c:pt>
                <c:pt idx="72">
                  <c:v>-1.8831621419907685E-2</c:v>
                </c:pt>
                <c:pt idx="73">
                  <c:v>-1.6256289198812265E-2</c:v>
                </c:pt>
                <c:pt idx="74">
                  <c:v>-1.5529690848413588E-2</c:v>
                </c:pt>
                <c:pt idx="75">
                  <c:v>-1.974554829397783E-2</c:v>
                </c:pt>
                <c:pt idx="76">
                  <c:v>-1.7656374534602087E-2</c:v>
                </c:pt>
                <c:pt idx="77">
                  <c:v>-1.6089782833389403E-2</c:v>
                </c:pt>
                <c:pt idx="78">
                  <c:v>-1.5807340976111046E-2</c:v>
                </c:pt>
                <c:pt idx="79">
                  <c:v>-1.5572292061202437E-2</c:v>
                </c:pt>
                <c:pt idx="80">
                  <c:v>-1.5603137839948909E-2</c:v>
                </c:pt>
                <c:pt idx="81">
                  <c:v>-1.9196661363645583E-2</c:v>
                </c:pt>
                <c:pt idx="82">
                  <c:v>-1.8602676797566213E-2</c:v>
                </c:pt>
                <c:pt idx="83">
                  <c:v>-1.4226073626027739E-2</c:v>
                </c:pt>
                <c:pt idx="84">
                  <c:v>-9.891642466466866E-3</c:v>
                </c:pt>
                <c:pt idx="85">
                  <c:v>-1.0073119244869321E-2</c:v>
                </c:pt>
                <c:pt idx="86">
                  <c:v>-8.6245613654143682E-3</c:v>
                </c:pt>
                <c:pt idx="87">
                  <c:v>-5.5087765798610862E-3</c:v>
                </c:pt>
                <c:pt idx="88">
                  <c:v>-4.4901356926088766E-3</c:v>
                </c:pt>
                <c:pt idx="89">
                  <c:v>-5.8348763671812352E-3</c:v>
                </c:pt>
                <c:pt idx="90">
                  <c:v>-5.5410394015872923E-3</c:v>
                </c:pt>
                <c:pt idx="91">
                  <c:v>-8.2054978345902363E-3</c:v>
                </c:pt>
                <c:pt idx="92">
                  <c:v>-1.1769348317440051E-2</c:v>
                </c:pt>
                <c:pt idx="93">
                  <c:v>-5.1268253764836114E-3</c:v>
                </c:pt>
                <c:pt idx="94">
                  <c:v>-7.2028442740659461E-3</c:v>
                </c:pt>
                <c:pt idx="95">
                  <c:v>-5.6398832819833863E-3</c:v>
                </c:pt>
                <c:pt idx="96">
                  <c:v>-3.0557062497857841E-3</c:v>
                </c:pt>
                <c:pt idx="97">
                  <c:v>-5.4296833847204216E-3</c:v>
                </c:pt>
                <c:pt idx="98">
                  <c:v>-2.3608941766250558E-3</c:v>
                </c:pt>
                <c:pt idx="99">
                  <c:v>1.8239023249715452E-3</c:v>
                </c:pt>
                <c:pt idx="100">
                  <c:v>5.5595254191034013E-3</c:v>
                </c:pt>
                <c:pt idx="101">
                  <c:v>5.2002547559449617E-3</c:v>
                </c:pt>
                <c:pt idx="102">
                  <c:v>3.4928905741910526E-3</c:v>
                </c:pt>
                <c:pt idx="103">
                  <c:v>1.1477482487567622E-3</c:v>
                </c:pt>
                <c:pt idx="104">
                  <c:v>-1.3045571152808053E-2</c:v>
                </c:pt>
                <c:pt idx="105">
                  <c:v>-5.5930848229892036E-3</c:v>
                </c:pt>
                <c:pt idx="106">
                  <c:v>-1.1628833137734126E-2</c:v>
                </c:pt>
                <c:pt idx="107">
                  <c:v>-1.549969545213691E-2</c:v>
                </c:pt>
                <c:pt idx="108">
                  <c:v>-2.4082235665534701E-2</c:v>
                </c:pt>
                <c:pt idx="109">
                  <c:v>-4.3042631770147985E-2</c:v>
                </c:pt>
                <c:pt idx="110">
                  <c:v>-4.9231037123706835E-2</c:v>
                </c:pt>
                <c:pt idx="111">
                  <c:v>-5.9504931759274758E-2</c:v>
                </c:pt>
                <c:pt idx="112">
                  <c:v>-6.3145025264586582E-2</c:v>
                </c:pt>
                <c:pt idx="113">
                  <c:v>-5.9424935650335867E-2</c:v>
                </c:pt>
                <c:pt idx="114">
                  <c:v>-3.9309397638270953E-2</c:v>
                </c:pt>
                <c:pt idx="115">
                  <c:v>-2.0275503132400122E-2</c:v>
                </c:pt>
                <c:pt idx="116">
                  <c:v>-4.4394297973082367E-3</c:v>
                </c:pt>
                <c:pt idx="117">
                  <c:v>1.8777690513019068E-2</c:v>
                </c:pt>
                <c:pt idx="118">
                  <c:v>2.3413743929005346E-2</c:v>
                </c:pt>
                <c:pt idx="119">
                  <c:v>2.7625785066822818E-2</c:v>
                </c:pt>
                <c:pt idx="120">
                  <c:v>2.9519470675603367E-2</c:v>
                </c:pt>
                <c:pt idx="121">
                  <c:v>2.8185177583920768E-2</c:v>
                </c:pt>
                <c:pt idx="122">
                  <c:v>2.5761760413485137E-2</c:v>
                </c:pt>
                <c:pt idx="123">
                  <c:v>1.8789296833867739E-2</c:v>
                </c:pt>
                <c:pt idx="124">
                  <c:v>1.6522938334484559E-2</c:v>
                </c:pt>
                <c:pt idx="125">
                  <c:v>1.8620777889481094E-2</c:v>
                </c:pt>
                <c:pt idx="126">
                  <c:v>1.1261871421912626E-2</c:v>
                </c:pt>
                <c:pt idx="127">
                  <c:v>7.7711618827516317E-3</c:v>
                </c:pt>
                <c:pt idx="128">
                  <c:v>4.4099427881063901E-3</c:v>
                </c:pt>
                <c:pt idx="129">
                  <c:v>3.343114695694331E-3</c:v>
                </c:pt>
              </c:numCache>
            </c:numRef>
          </c:val>
          <c:smooth val="0"/>
          <c:extLst>
            <c:ext xmlns:c16="http://schemas.microsoft.com/office/drawing/2014/chart" uri="{C3380CC4-5D6E-409C-BE32-E72D297353CC}">
              <c16:uniqueId val="{00000000-3806-4938-A9DA-4DB489B753C9}"/>
            </c:ext>
          </c:extLst>
        </c:ser>
        <c:ser>
          <c:idx val="1"/>
          <c:order val="1"/>
          <c:spPr>
            <a:ln w="28575" cap="rnd">
              <a:solidFill>
                <a:schemeClr val="accent2"/>
              </a:solidFill>
              <a:round/>
            </a:ln>
            <a:effectLst/>
          </c:spPr>
          <c:marker>
            <c:symbol val="none"/>
          </c:marker>
          <c:val>
            <c:numRef>
              <c:f>logRus!$S$6:$S$85</c:f>
              <c:numCache>
                <c:formatCode>General</c:formatCode>
                <c:ptCount val="80"/>
                <c:pt idx="0">
                  <c:v>1.1527265497524921E-2</c:v>
                </c:pt>
                <c:pt idx="1">
                  <c:v>1.86209292488233E-2</c:v>
                </c:pt>
                <c:pt idx="2">
                  <c:v>2.443790359809905E-2</c:v>
                </c:pt>
                <c:pt idx="3">
                  <c:v>3.4665802374103549E-2</c:v>
                </c:pt>
                <c:pt idx="4">
                  <c:v>3.5630582752461233E-2</c:v>
                </c:pt>
                <c:pt idx="5">
                  <c:v>3.217896346349014E-2</c:v>
                </c:pt>
                <c:pt idx="6">
                  <c:v>3.092178213872598E-2</c:v>
                </c:pt>
                <c:pt idx="7">
                  <c:v>3.0224803165235459E-2</c:v>
                </c:pt>
                <c:pt idx="8">
                  <c:v>2.904860423469913E-2</c:v>
                </c:pt>
                <c:pt idx="9">
                  <c:v>3.0654123502062539E-2</c:v>
                </c:pt>
                <c:pt idx="10">
                  <c:v>3.1265466762345977E-2</c:v>
                </c:pt>
                <c:pt idx="11">
                  <c:v>3.1492383653608291E-2</c:v>
                </c:pt>
                <c:pt idx="12">
                  <c:v>3.3611494996828251E-2</c:v>
                </c:pt>
                <c:pt idx="13">
                  <c:v>3.072521259214489E-2</c:v>
                </c:pt>
                <c:pt idx="14">
                  <c:v>3.2048953695744231E-2</c:v>
                </c:pt>
                <c:pt idx="15">
                  <c:v>3.3329424699565458E-2</c:v>
                </c:pt>
                <c:pt idx="16">
                  <c:v>3.386543279093801E-2</c:v>
                </c:pt>
                <c:pt idx="17">
                  <c:v>3.8100980828679409E-2</c:v>
                </c:pt>
                <c:pt idx="18">
                  <c:v>3.5064237292439022E-2</c:v>
                </c:pt>
                <c:pt idx="19">
                  <c:v>3.271729039928184E-2</c:v>
                </c:pt>
                <c:pt idx="20">
                  <c:v>3.3417820533834242E-2</c:v>
                </c:pt>
                <c:pt idx="21">
                  <c:v>3.2265978902423997E-2</c:v>
                </c:pt>
                <c:pt idx="22">
                  <c:v>3.2099151375572621E-2</c:v>
                </c:pt>
                <c:pt idx="23">
                  <c:v>3.7306346415254321E-2</c:v>
                </c:pt>
                <c:pt idx="24">
                  <c:v>4.0604676308112257E-2</c:v>
                </c:pt>
                <c:pt idx="25">
                  <c:v>3.69118092773979E-2</c:v>
                </c:pt>
                <c:pt idx="26">
                  <c:v>3.7520857580398248E-2</c:v>
                </c:pt>
                <c:pt idx="27">
                  <c:v>3.2350527046107302E-2</c:v>
                </c:pt>
                <c:pt idx="28">
                  <c:v>1.8347832929782149E-2</c:v>
                </c:pt>
                <c:pt idx="29">
                  <c:v>1.042521442061317E-2</c:v>
                </c:pt>
                <c:pt idx="30">
                  <c:v>8.5893821379090518E-4</c:v>
                </c:pt>
                <c:pt idx="31">
                  <c:v>-5.2457415014586228E-3</c:v>
                </c:pt>
                <c:pt idx="32">
                  <c:v>-1.904818433267397E-3</c:v>
                </c:pt>
                <c:pt idx="33">
                  <c:v>4.7603663731887741E-4</c:v>
                </c:pt>
                <c:pt idx="34">
                  <c:v>2.9052460330558638E-3</c:v>
                </c:pt>
                <c:pt idx="35">
                  <c:v>-2.6005034856700911E-3</c:v>
                </c:pt>
                <c:pt idx="36">
                  <c:v>-5.6272022690928569E-3</c:v>
                </c:pt>
                <c:pt idx="37">
                  <c:v>-1.0667662788134471E-2</c:v>
                </c:pt>
                <c:pt idx="38">
                  <c:v>-9.6994702875251582E-3</c:v>
                </c:pt>
                <c:pt idx="39">
                  <c:v>-1.120390582768827E-2</c:v>
                </c:pt>
                <c:pt idx="40">
                  <c:v>-1.029634232873256E-2</c:v>
                </c:pt>
                <c:pt idx="41">
                  <c:v>-9.4660989447408195E-3</c:v>
                </c:pt>
                <c:pt idx="42">
                  <c:v>-1.094267451412889E-2</c:v>
                </c:pt>
                <c:pt idx="43">
                  <c:v>-6.4949984345646916E-3</c:v>
                </c:pt>
                <c:pt idx="44">
                  <c:v>-3.3953107306999848E-3</c:v>
                </c:pt>
                <c:pt idx="45">
                  <c:v>-1.60121241459743E-3</c:v>
                </c:pt>
                <c:pt idx="46">
                  <c:v>4.0977459710460629E-3</c:v>
                </c:pt>
                <c:pt idx="47">
                  <c:v>5.5292727272724376E-3</c:v>
                </c:pt>
                <c:pt idx="48">
                  <c:v>1.0948312410734349E-2</c:v>
                </c:pt>
                <c:pt idx="49">
                  <c:v>1.50236548483007E-2</c:v>
                </c:pt>
                <c:pt idx="50">
                  <c:v>1.408480892224739E-2</c:v>
                </c:pt>
                <c:pt idx="51">
                  <c:v>1.7138237671786571E-2</c:v>
                </c:pt>
                <c:pt idx="52">
                  <c:v>2.236985028718497E-2</c:v>
                </c:pt>
                <c:pt idx="53">
                  <c:v>1.5632223854653789E-2</c:v>
                </c:pt>
                <c:pt idx="54">
                  <c:v>1.11610813869738E-2</c:v>
                </c:pt>
                <c:pt idx="55">
                  <c:v>5.9519512745320746E-3</c:v>
                </c:pt>
                <c:pt idx="56">
                  <c:v>-1.1960659051235891E-2</c:v>
                </c:pt>
                <c:pt idx="57">
                  <c:v>-5.8140842782750113E-4</c:v>
                </c:pt>
                <c:pt idx="58">
                  <c:v>-7.0289440717691276E-3</c:v>
                </c:pt>
                <c:pt idx="59">
                  <c:v>-2.1109405071293219E-2</c:v>
                </c:pt>
                <c:pt idx="60">
                  <c:v>-1.646447278775243E-2</c:v>
                </c:pt>
                <c:pt idx="61">
                  <c:v>-1.3788049648225E-2</c:v>
                </c:pt>
                <c:pt idx="62">
                  <c:v>-7.9503808923190311E-3</c:v>
                </c:pt>
                <c:pt idx="63">
                  <c:v>-1.653788773855025E-3</c:v>
                </c:pt>
                <c:pt idx="64">
                  <c:v>-2.0595024160374731E-3</c:v>
                </c:pt>
                <c:pt idx="65">
                  <c:v>-3.2724443604309479E-3</c:v>
                </c:pt>
                <c:pt idx="66">
                  <c:v>-9.0250846886823499E-3</c:v>
                </c:pt>
                <c:pt idx="67">
                  <c:v>-1.384543572146946E-2</c:v>
                </c:pt>
                <c:pt idx="68">
                  <c:v>-1.6400839742583769E-2</c:v>
                </c:pt>
                <c:pt idx="69">
                  <c:v>-1.7488199486042081E-2</c:v>
                </c:pt>
                <c:pt idx="70">
                  <c:v>-1.974625929593599E-2</c:v>
                </c:pt>
                <c:pt idx="71">
                  <c:v>-2.143616208393628E-2</c:v>
                </c:pt>
                <c:pt idx="72">
                  <c:v>-1.7010986385053491E-2</c:v>
                </c:pt>
                <c:pt idx="73">
                  <c:v>-1.7795315990833279E-2</c:v>
                </c:pt>
                <c:pt idx="74">
                  <c:v>-1.560570692124086E-2</c:v>
                </c:pt>
                <c:pt idx="75">
                  <c:v>-1.490564335372113E-2</c:v>
                </c:pt>
                <c:pt idx="76">
                  <c:v>-1.6945643389137621E-2</c:v>
                </c:pt>
                <c:pt idx="77">
                  <c:v>-1.6604820696480171E-2</c:v>
                </c:pt>
                <c:pt idx="78">
                  <c:v>-1.4003990250237569E-2</c:v>
                </c:pt>
                <c:pt idx="79">
                  <c:v>-1.322646612598111E-2</c:v>
                </c:pt>
              </c:numCache>
            </c:numRef>
          </c:val>
          <c:smooth val="0"/>
          <c:extLst>
            <c:ext xmlns:c16="http://schemas.microsoft.com/office/drawing/2014/chart" uri="{C3380CC4-5D6E-409C-BE32-E72D297353CC}">
              <c16:uniqueId val="{00000001-3806-4938-A9DA-4DB489B753C9}"/>
            </c:ext>
          </c:extLst>
        </c:ser>
        <c:ser>
          <c:idx val="2"/>
          <c:order val="2"/>
          <c:spPr>
            <a:ln w="28575" cap="rnd">
              <a:solidFill>
                <a:schemeClr val="accent3"/>
              </a:solidFill>
              <a:round/>
            </a:ln>
            <a:effectLst/>
          </c:spPr>
          <c:marker>
            <c:symbol val="none"/>
          </c:marker>
          <c:val>
            <c:numRef>
              <c:f>logRus!$V$6:$V$37</c:f>
              <c:numCache>
                <c:formatCode>General</c:formatCode>
                <c:ptCount val="32"/>
                <c:pt idx="0">
                  <c:v>7.1739999999999998E-3</c:v>
                </c:pt>
                <c:pt idx="1">
                  <c:v>1.9243799999999998E-2</c:v>
                </c:pt>
                <c:pt idx="2">
                  <c:v>2.54314E-2</c:v>
                </c:pt>
                <c:pt idx="3">
                  <c:v>3.20287E-2</c:v>
                </c:pt>
                <c:pt idx="4">
                  <c:v>4.0839E-2</c:v>
                </c:pt>
                <c:pt idx="5">
                  <c:v>3.9385700000000003E-2</c:v>
                </c:pt>
                <c:pt idx="6">
                  <c:v>3.5532599999999998E-2</c:v>
                </c:pt>
                <c:pt idx="7">
                  <c:v>3.8806E-2</c:v>
                </c:pt>
                <c:pt idx="8">
                  <c:v>3.01179E-2</c:v>
                </c:pt>
                <c:pt idx="9">
                  <c:v>3.3242899999999999E-2</c:v>
                </c:pt>
                <c:pt idx="10">
                  <c:v>3.8177900000000001E-2</c:v>
                </c:pt>
                <c:pt idx="11">
                  <c:v>3.3572100000000001E-2</c:v>
                </c:pt>
                <c:pt idx="12">
                  <c:v>3.28583E-2</c:v>
                </c:pt>
                <c:pt idx="13">
                  <c:v>3.69045E-2</c:v>
                </c:pt>
                <c:pt idx="14">
                  <c:v>3.5008400000000002E-2</c:v>
                </c:pt>
                <c:pt idx="15">
                  <c:v>3.49282E-2</c:v>
                </c:pt>
                <c:pt idx="16">
                  <c:v>3.5303500000000002E-2</c:v>
                </c:pt>
                <c:pt idx="17">
                  <c:v>3.94662E-2</c:v>
                </c:pt>
                <c:pt idx="18">
                  <c:v>4.4738699999999999E-2</c:v>
                </c:pt>
                <c:pt idx="19">
                  <c:v>3.3406699999999998E-2</c:v>
                </c:pt>
                <c:pt idx="20">
                  <c:v>3.2852899999999997E-2</c:v>
                </c:pt>
                <c:pt idx="21">
                  <c:v>3.3395899999999999E-2</c:v>
                </c:pt>
                <c:pt idx="22">
                  <c:v>3.7542699999999998E-2</c:v>
                </c:pt>
                <c:pt idx="23">
                  <c:v>3.7716800000000002E-2</c:v>
                </c:pt>
                <c:pt idx="24">
                  <c:v>3.8617199999999997E-2</c:v>
                </c:pt>
                <c:pt idx="25">
                  <c:v>4.4003599999999997E-2</c:v>
                </c:pt>
                <c:pt idx="26">
                  <c:v>3.9861000000000001E-2</c:v>
                </c:pt>
                <c:pt idx="27">
                  <c:v>4.3177899999999998E-2</c:v>
                </c:pt>
                <c:pt idx="28">
                  <c:v>4.0440200000000003E-2</c:v>
                </c:pt>
                <c:pt idx="29">
                  <c:v>2.2131100000000001E-2</c:v>
                </c:pt>
                <c:pt idx="30">
                  <c:v>1.9403199999999999E-2</c:v>
                </c:pt>
                <c:pt idx="31">
                  <c:v>-6.3139999999999995E-4</c:v>
                </c:pt>
              </c:numCache>
            </c:numRef>
          </c:val>
          <c:smooth val="0"/>
          <c:extLst>
            <c:ext xmlns:c16="http://schemas.microsoft.com/office/drawing/2014/chart" uri="{C3380CC4-5D6E-409C-BE32-E72D297353CC}">
              <c16:uniqueId val="{00000002-3806-4938-A9DA-4DB489B753C9}"/>
            </c:ext>
          </c:extLst>
        </c:ser>
        <c:dLbls>
          <c:showLegendKey val="0"/>
          <c:showVal val="0"/>
          <c:showCatName val="0"/>
          <c:showSerName val="0"/>
          <c:showPercent val="0"/>
          <c:showBubbleSize val="0"/>
        </c:dLbls>
        <c:smooth val="0"/>
        <c:axId val="1763236272"/>
        <c:axId val="1788243408"/>
      </c:lineChart>
      <c:catAx>
        <c:axId val="176323627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788243408"/>
        <c:crosses val="autoZero"/>
        <c:auto val="1"/>
        <c:lblAlgn val="ctr"/>
        <c:lblOffset val="100"/>
        <c:noMultiLvlLbl val="0"/>
      </c:catAx>
      <c:valAx>
        <c:axId val="1788243408"/>
        <c:scaling>
          <c:orientation val="minMax"/>
        </c:scaling>
        <c:delete val="0"/>
        <c:axPos val="l"/>
        <c:majorGridlines>
          <c:spPr>
            <a:ln w="9525" cap="flat" cmpd="sng" algn="ctr">
              <a:solidFill>
                <a:schemeClr val="tx1">
                  <a:lumMod val="15000"/>
                  <a:lumOff val="85000"/>
                </a:schemeClr>
              </a:solidFill>
              <a:round/>
            </a:ln>
            <a:effectLst/>
          </c:spPr>
        </c:majorGridlines>
        <c:numFmt formatCode="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7632362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spPr>
            <a:ln w="28575" cap="rnd">
              <a:solidFill>
                <a:schemeClr val="accent1"/>
              </a:solidFill>
              <a:round/>
            </a:ln>
            <a:effectLst/>
          </c:spPr>
          <c:marker>
            <c:symbol val="none"/>
          </c:marker>
          <c:val>
            <c:numRef>
              <c:f>logRus!$H$6:$H$36</c:f>
              <c:numCache>
                <c:formatCode>General</c:formatCode>
                <c:ptCount val="31"/>
              </c:numCache>
            </c:numRef>
          </c:val>
          <c:smooth val="0"/>
          <c:extLst>
            <c:ext xmlns:c16="http://schemas.microsoft.com/office/drawing/2014/chart" uri="{C3380CC4-5D6E-409C-BE32-E72D297353CC}">
              <c16:uniqueId val="{00000000-756A-48B8-A5F9-00736ECC1A43}"/>
            </c:ext>
          </c:extLst>
        </c:ser>
        <c:ser>
          <c:idx val="1"/>
          <c:order val="1"/>
          <c:spPr>
            <a:ln w="28575" cap="rnd">
              <a:solidFill>
                <a:schemeClr val="accent2"/>
              </a:solidFill>
              <a:round/>
            </a:ln>
            <a:effectLst/>
          </c:spPr>
          <c:marker>
            <c:symbol val="none"/>
          </c:marker>
          <c:val>
            <c:numRef>
              <c:f>logRus!$S$6:$S$36</c:f>
              <c:numCache>
                <c:formatCode>General</c:formatCode>
                <c:ptCount val="31"/>
                <c:pt idx="0">
                  <c:v>1.1527265497524921E-2</c:v>
                </c:pt>
                <c:pt idx="1">
                  <c:v>1.86209292488233E-2</c:v>
                </c:pt>
                <c:pt idx="2">
                  <c:v>2.443790359809905E-2</c:v>
                </c:pt>
                <c:pt idx="3">
                  <c:v>3.4665802374103549E-2</c:v>
                </c:pt>
                <c:pt idx="4">
                  <c:v>3.5630582752461233E-2</c:v>
                </c:pt>
                <c:pt idx="5">
                  <c:v>3.217896346349014E-2</c:v>
                </c:pt>
                <c:pt idx="6">
                  <c:v>3.092178213872598E-2</c:v>
                </c:pt>
                <c:pt idx="7">
                  <c:v>3.0224803165235459E-2</c:v>
                </c:pt>
                <c:pt idx="8">
                  <c:v>2.904860423469913E-2</c:v>
                </c:pt>
                <c:pt idx="9">
                  <c:v>3.0654123502062539E-2</c:v>
                </c:pt>
                <c:pt idx="10">
                  <c:v>3.1265466762345977E-2</c:v>
                </c:pt>
                <c:pt idx="11">
                  <c:v>3.1492383653608291E-2</c:v>
                </c:pt>
                <c:pt idx="12">
                  <c:v>3.3611494996828251E-2</c:v>
                </c:pt>
                <c:pt idx="13">
                  <c:v>3.072521259214489E-2</c:v>
                </c:pt>
                <c:pt idx="14">
                  <c:v>3.2048953695744231E-2</c:v>
                </c:pt>
                <c:pt idx="15">
                  <c:v>3.3329424699565458E-2</c:v>
                </c:pt>
                <c:pt idx="16">
                  <c:v>3.386543279093801E-2</c:v>
                </c:pt>
                <c:pt idx="17">
                  <c:v>3.8100980828679409E-2</c:v>
                </c:pt>
                <c:pt idx="18">
                  <c:v>3.5064237292439022E-2</c:v>
                </c:pt>
                <c:pt idx="19">
                  <c:v>3.271729039928184E-2</c:v>
                </c:pt>
                <c:pt idx="20">
                  <c:v>3.3417820533834242E-2</c:v>
                </c:pt>
                <c:pt idx="21">
                  <c:v>3.2265978902423997E-2</c:v>
                </c:pt>
                <c:pt idx="22">
                  <c:v>3.2099151375572621E-2</c:v>
                </c:pt>
                <c:pt idx="23">
                  <c:v>3.7306346415254321E-2</c:v>
                </c:pt>
                <c:pt idx="24">
                  <c:v>4.0604676308112257E-2</c:v>
                </c:pt>
                <c:pt idx="25">
                  <c:v>3.69118092773979E-2</c:v>
                </c:pt>
                <c:pt idx="26">
                  <c:v>3.7520857580398248E-2</c:v>
                </c:pt>
                <c:pt idx="27">
                  <c:v>3.2350527046107302E-2</c:v>
                </c:pt>
                <c:pt idx="28">
                  <c:v>1.8347832929782149E-2</c:v>
                </c:pt>
                <c:pt idx="29">
                  <c:v>1.042521442061317E-2</c:v>
                </c:pt>
                <c:pt idx="30">
                  <c:v>8.5893821379090518E-4</c:v>
                </c:pt>
              </c:numCache>
            </c:numRef>
          </c:val>
          <c:smooth val="0"/>
          <c:extLst>
            <c:ext xmlns:c16="http://schemas.microsoft.com/office/drawing/2014/chart" uri="{C3380CC4-5D6E-409C-BE32-E72D297353CC}">
              <c16:uniqueId val="{00000001-756A-48B8-A5F9-00736ECC1A43}"/>
            </c:ext>
          </c:extLst>
        </c:ser>
        <c:dLbls>
          <c:showLegendKey val="0"/>
          <c:showVal val="0"/>
          <c:showCatName val="0"/>
          <c:showSerName val="0"/>
          <c:showPercent val="0"/>
          <c:showBubbleSize val="0"/>
        </c:dLbls>
        <c:smooth val="0"/>
        <c:axId val="1546374576"/>
        <c:axId val="1788261168"/>
      </c:lineChart>
      <c:catAx>
        <c:axId val="154637457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788261168"/>
        <c:crosses val="autoZero"/>
        <c:auto val="1"/>
        <c:lblAlgn val="ctr"/>
        <c:lblOffset val="100"/>
        <c:noMultiLvlLbl val="0"/>
      </c:catAx>
      <c:valAx>
        <c:axId val="1788261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5463745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spPr>
            <a:ln w="28575" cap="rnd">
              <a:solidFill>
                <a:schemeClr val="accent1"/>
              </a:solidFill>
              <a:round/>
            </a:ln>
            <a:effectLst/>
          </c:spPr>
          <c:marker>
            <c:symbol val="none"/>
          </c:marker>
          <c:val>
            <c:numRef>
              <c:f>logRus!$S$6:$S$37</c:f>
              <c:numCache>
                <c:formatCode>General</c:formatCode>
                <c:ptCount val="32"/>
                <c:pt idx="0">
                  <c:v>1.1527265497524921E-2</c:v>
                </c:pt>
                <c:pt idx="1">
                  <c:v>1.86209292488233E-2</c:v>
                </c:pt>
                <c:pt idx="2">
                  <c:v>2.443790359809905E-2</c:v>
                </c:pt>
                <c:pt idx="3">
                  <c:v>3.4665802374103549E-2</c:v>
                </c:pt>
                <c:pt idx="4">
                  <c:v>3.5630582752461233E-2</c:v>
                </c:pt>
                <c:pt idx="5">
                  <c:v>3.217896346349014E-2</c:v>
                </c:pt>
                <c:pt idx="6">
                  <c:v>3.092178213872598E-2</c:v>
                </c:pt>
                <c:pt idx="7">
                  <c:v>3.0224803165235459E-2</c:v>
                </c:pt>
                <c:pt idx="8">
                  <c:v>2.904860423469913E-2</c:v>
                </c:pt>
                <c:pt idx="9">
                  <c:v>3.0654123502062539E-2</c:v>
                </c:pt>
                <c:pt idx="10">
                  <c:v>3.1265466762345977E-2</c:v>
                </c:pt>
                <c:pt idx="11">
                  <c:v>3.1492383653608291E-2</c:v>
                </c:pt>
                <c:pt idx="12">
                  <c:v>3.3611494996828251E-2</c:v>
                </c:pt>
                <c:pt idx="13">
                  <c:v>3.072521259214489E-2</c:v>
                </c:pt>
                <c:pt idx="14">
                  <c:v>3.2048953695744231E-2</c:v>
                </c:pt>
                <c:pt idx="15">
                  <c:v>3.3329424699565458E-2</c:v>
                </c:pt>
                <c:pt idx="16">
                  <c:v>3.386543279093801E-2</c:v>
                </c:pt>
                <c:pt idx="17">
                  <c:v>3.8100980828679409E-2</c:v>
                </c:pt>
                <c:pt idx="18">
                  <c:v>3.5064237292439022E-2</c:v>
                </c:pt>
                <c:pt idx="19">
                  <c:v>3.271729039928184E-2</c:v>
                </c:pt>
                <c:pt idx="20">
                  <c:v>3.3417820533834242E-2</c:v>
                </c:pt>
                <c:pt idx="21">
                  <c:v>3.2265978902423997E-2</c:v>
                </c:pt>
                <c:pt idx="22">
                  <c:v>3.2099151375572621E-2</c:v>
                </c:pt>
                <c:pt idx="23">
                  <c:v>3.7306346415254321E-2</c:v>
                </c:pt>
                <c:pt idx="24">
                  <c:v>4.0604676308112257E-2</c:v>
                </c:pt>
                <c:pt idx="25">
                  <c:v>3.69118092773979E-2</c:v>
                </c:pt>
                <c:pt idx="26">
                  <c:v>3.7520857580398248E-2</c:v>
                </c:pt>
                <c:pt idx="27">
                  <c:v>3.2350527046107302E-2</c:v>
                </c:pt>
                <c:pt idx="28">
                  <c:v>1.8347832929782149E-2</c:v>
                </c:pt>
                <c:pt idx="29">
                  <c:v>1.042521442061317E-2</c:v>
                </c:pt>
                <c:pt idx="30">
                  <c:v>8.5893821379090518E-4</c:v>
                </c:pt>
                <c:pt idx="31">
                  <c:v>-5.2457415014586228E-3</c:v>
                </c:pt>
              </c:numCache>
            </c:numRef>
          </c:val>
          <c:smooth val="0"/>
          <c:extLst>
            <c:ext xmlns:c16="http://schemas.microsoft.com/office/drawing/2014/chart" uri="{C3380CC4-5D6E-409C-BE32-E72D297353CC}">
              <c16:uniqueId val="{00000000-D608-44B8-9C26-366C923FF330}"/>
            </c:ext>
          </c:extLst>
        </c:ser>
        <c:ser>
          <c:idx val="1"/>
          <c:order val="1"/>
          <c:spPr>
            <a:ln w="28575" cap="rnd">
              <a:solidFill>
                <a:schemeClr val="accent2"/>
              </a:solidFill>
              <a:round/>
            </a:ln>
            <a:effectLst/>
          </c:spPr>
          <c:marker>
            <c:symbol val="none"/>
          </c:marker>
          <c:val>
            <c:numRef>
              <c:f>logRus!$V$6:$V$37</c:f>
              <c:numCache>
                <c:formatCode>General</c:formatCode>
                <c:ptCount val="32"/>
                <c:pt idx="0">
                  <c:v>7.1739999999999998E-3</c:v>
                </c:pt>
                <c:pt idx="1">
                  <c:v>1.9243799999999998E-2</c:v>
                </c:pt>
                <c:pt idx="2">
                  <c:v>2.54314E-2</c:v>
                </c:pt>
                <c:pt idx="3">
                  <c:v>3.20287E-2</c:v>
                </c:pt>
                <c:pt idx="4">
                  <c:v>4.0839E-2</c:v>
                </c:pt>
                <c:pt idx="5">
                  <c:v>3.9385700000000003E-2</c:v>
                </c:pt>
                <c:pt idx="6">
                  <c:v>3.5532599999999998E-2</c:v>
                </c:pt>
                <c:pt idx="7">
                  <c:v>3.8806E-2</c:v>
                </c:pt>
                <c:pt idx="8">
                  <c:v>3.01179E-2</c:v>
                </c:pt>
                <c:pt idx="9">
                  <c:v>3.3242899999999999E-2</c:v>
                </c:pt>
                <c:pt idx="10">
                  <c:v>3.8177900000000001E-2</c:v>
                </c:pt>
                <c:pt idx="11">
                  <c:v>3.3572100000000001E-2</c:v>
                </c:pt>
                <c:pt idx="12">
                  <c:v>3.28583E-2</c:v>
                </c:pt>
                <c:pt idx="13">
                  <c:v>3.69045E-2</c:v>
                </c:pt>
                <c:pt idx="14">
                  <c:v>3.5008400000000002E-2</c:v>
                </c:pt>
                <c:pt idx="15">
                  <c:v>3.49282E-2</c:v>
                </c:pt>
                <c:pt idx="16">
                  <c:v>3.5303500000000002E-2</c:v>
                </c:pt>
                <c:pt idx="17">
                  <c:v>3.94662E-2</c:v>
                </c:pt>
                <c:pt idx="18">
                  <c:v>4.4738699999999999E-2</c:v>
                </c:pt>
                <c:pt idx="19">
                  <c:v>3.3406699999999998E-2</c:v>
                </c:pt>
                <c:pt idx="20">
                  <c:v>3.2852899999999997E-2</c:v>
                </c:pt>
                <c:pt idx="21">
                  <c:v>3.3395899999999999E-2</c:v>
                </c:pt>
                <c:pt idx="22">
                  <c:v>3.7542699999999998E-2</c:v>
                </c:pt>
                <c:pt idx="23">
                  <c:v>3.7716800000000002E-2</c:v>
                </c:pt>
                <c:pt idx="24">
                  <c:v>3.8617199999999997E-2</c:v>
                </c:pt>
                <c:pt idx="25">
                  <c:v>4.4003599999999997E-2</c:v>
                </c:pt>
                <c:pt idx="26">
                  <c:v>3.9861000000000001E-2</c:v>
                </c:pt>
                <c:pt idx="27">
                  <c:v>4.3177899999999998E-2</c:v>
                </c:pt>
                <c:pt idx="28">
                  <c:v>4.0440200000000003E-2</c:v>
                </c:pt>
                <c:pt idx="29">
                  <c:v>2.2131100000000001E-2</c:v>
                </c:pt>
                <c:pt idx="30">
                  <c:v>1.9403199999999999E-2</c:v>
                </c:pt>
                <c:pt idx="31">
                  <c:v>-6.3139999999999995E-4</c:v>
                </c:pt>
              </c:numCache>
            </c:numRef>
          </c:val>
          <c:smooth val="0"/>
          <c:extLst>
            <c:ext xmlns:c16="http://schemas.microsoft.com/office/drawing/2014/chart" uri="{C3380CC4-5D6E-409C-BE32-E72D297353CC}">
              <c16:uniqueId val="{00000001-D608-44B8-9C26-366C923FF330}"/>
            </c:ext>
          </c:extLst>
        </c:ser>
        <c:dLbls>
          <c:showLegendKey val="0"/>
          <c:showVal val="0"/>
          <c:showCatName val="0"/>
          <c:showSerName val="0"/>
          <c:showPercent val="0"/>
          <c:showBubbleSize val="0"/>
        </c:dLbls>
        <c:smooth val="0"/>
        <c:axId val="1252140047"/>
        <c:axId val="1788349008"/>
      </c:lineChart>
      <c:catAx>
        <c:axId val="125214004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788349008"/>
        <c:crosses val="autoZero"/>
        <c:auto val="1"/>
        <c:lblAlgn val="ctr"/>
        <c:lblOffset val="100"/>
        <c:noMultiLvlLbl val="0"/>
      </c:catAx>
      <c:valAx>
        <c:axId val="1788349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252140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17</xdr:col>
      <xdr:colOff>422413</xdr:colOff>
      <xdr:row>7</xdr:row>
      <xdr:rowOff>190499</xdr:rowOff>
    </xdr:from>
    <xdr:to>
      <xdr:col>23</xdr:col>
      <xdr:colOff>422413</xdr:colOff>
      <xdr:row>24</xdr:row>
      <xdr:rowOff>152399</xdr:rowOff>
    </xdr:to>
    <xdr:graphicFrame macro="">
      <xdr:nvGraphicFramePr>
        <xdr:cNvPr id="2" name="Gráfico 1">
          <a:extLst>
            <a:ext uri="{FF2B5EF4-FFF2-40B4-BE49-F238E27FC236}">
              <a16:creationId xmlns:a16="http://schemas.microsoft.com/office/drawing/2014/main" id="{B0599818-DA10-406C-94BB-7AEA8582C3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0</xdr:colOff>
      <xdr:row>3</xdr:row>
      <xdr:rowOff>0</xdr:rowOff>
    </xdr:from>
    <xdr:to>
      <xdr:col>18</xdr:col>
      <xdr:colOff>295275</xdr:colOff>
      <xdr:row>17</xdr:row>
      <xdr:rowOff>76200</xdr:rowOff>
    </xdr:to>
    <xdr:graphicFrame macro="">
      <xdr:nvGraphicFramePr>
        <xdr:cNvPr id="2" name="Gráfico 1">
          <a:extLst>
            <a:ext uri="{FF2B5EF4-FFF2-40B4-BE49-F238E27FC236}">
              <a16:creationId xmlns:a16="http://schemas.microsoft.com/office/drawing/2014/main" id="{3599A5E8-1AD4-4FFB-ABF6-086A7FD4D0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247650</xdr:colOff>
      <xdr:row>4</xdr:row>
      <xdr:rowOff>19050</xdr:rowOff>
    </xdr:from>
    <xdr:to>
      <xdr:col>17</xdr:col>
      <xdr:colOff>552450</xdr:colOff>
      <xdr:row>18</xdr:row>
      <xdr:rowOff>95250</xdr:rowOff>
    </xdr:to>
    <xdr:graphicFrame macro="">
      <xdr:nvGraphicFramePr>
        <xdr:cNvPr id="3" name="Gráfico 2">
          <a:extLst>
            <a:ext uri="{FF2B5EF4-FFF2-40B4-BE49-F238E27FC236}">
              <a16:creationId xmlns:a16="http://schemas.microsoft.com/office/drawing/2014/main" id="{7F2D024A-134B-40A7-AE18-B590293222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247650</xdr:colOff>
      <xdr:row>19</xdr:row>
      <xdr:rowOff>104775</xdr:rowOff>
    </xdr:from>
    <xdr:to>
      <xdr:col>17</xdr:col>
      <xdr:colOff>552450</xdr:colOff>
      <xdr:row>34</xdr:row>
      <xdr:rowOff>109537</xdr:rowOff>
    </xdr:to>
    <xdr:graphicFrame macro="">
      <xdr:nvGraphicFramePr>
        <xdr:cNvPr id="7" name="Gráfico 6">
          <a:extLst>
            <a:ext uri="{FF2B5EF4-FFF2-40B4-BE49-F238E27FC236}">
              <a16:creationId xmlns:a16="http://schemas.microsoft.com/office/drawing/2014/main" id="{484D50AE-1AC8-B5BB-8B8B-AFD1DC60C3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11</xdr:col>
      <xdr:colOff>0</xdr:colOff>
      <xdr:row>1</xdr:row>
      <xdr:rowOff>0</xdr:rowOff>
    </xdr:from>
    <xdr:to>
      <xdr:col>18</xdr:col>
      <xdr:colOff>304800</xdr:colOff>
      <xdr:row>15</xdr:row>
      <xdr:rowOff>76200</xdr:rowOff>
    </xdr:to>
    <xdr:graphicFrame macro="">
      <xdr:nvGraphicFramePr>
        <xdr:cNvPr id="3" name="Gráfico 2">
          <a:extLst>
            <a:ext uri="{FF2B5EF4-FFF2-40B4-BE49-F238E27FC236}">
              <a16:creationId xmlns:a16="http://schemas.microsoft.com/office/drawing/2014/main" id="{A2F08FFE-BF7F-4D68-9220-F043959014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528637</xdr:colOff>
      <xdr:row>17</xdr:row>
      <xdr:rowOff>90487</xdr:rowOff>
    </xdr:from>
    <xdr:to>
      <xdr:col>18</xdr:col>
      <xdr:colOff>223837</xdr:colOff>
      <xdr:row>31</xdr:row>
      <xdr:rowOff>166687</xdr:rowOff>
    </xdr:to>
    <xdr:graphicFrame macro="">
      <xdr:nvGraphicFramePr>
        <xdr:cNvPr id="4" name="Gráfico 3">
          <a:extLst>
            <a:ext uri="{FF2B5EF4-FFF2-40B4-BE49-F238E27FC236}">
              <a16:creationId xmlns:a16="http://schemas.microsoft.com/office/drawing/2014/main" id="{1E4646E8-6665-0C36-F914-ACBCE74196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14287</xdr:colOff>
      <xdr:row>11</xdr:row>
      <xdr:rowOff>52387</xdr:rowOff>
    </xdr:from>
    <xdr:to>
      <xdr:col>13</xdr:col>
      <xdr:colOff>319087</xdr:colOff>
      <xdr:row>25</xdr:row>
      <xdr:rowOff>128587</xdr:rowOff>
    </xdr:to>
    <xdr:graphicFrame macro="">
      <xdr:nvGraphicFramePr>
        <xdr:cNvPr id="2" name="Gráfico 1">
          <a:extLst>
            <a:ext uri="{FF2B5EF4-FFF2-40B4-BE49-F238E27FC236}">
              <a16:creationId xmlns:a16="http://schemas.microsoft.com/office/drawing/2014/main" id="{D3E1AEF8-0860-46BB-A203-9319F1AE16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29</xdr:row>
      <xdr:rowOff>0</xdr:rowOff>
    </xdr:from>
    <xdr:to>
      <xdr:col>13</xdr:col>
      <xdr:colOff>304800</xdr:colOff>
      <xdr:row>43</xdr:row>
      <xdr:rowOff>76200</xdr:rowOff>
    </xdr:to>
    <xdr:graphicFrame macro="">
      <xdr:nvGraphicFramePr>
        <xdr:cNvPr id="3" name="Gráfico 2">
          <a:extLst>
            <a:ext uri="{FF2B5EF4-FFF2-40B4-BE49-F238E27FC236}">
              <a16:creationId xmlns:a16="http://schemas.microsoft.com/office/drawing/2014/main" id="{F5E169DF-DB35-4C36-9BD8-3E56DA570C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14287</xdr:colOff>
      <xdr:row>11</xdr:row>
      <xdr:rowOff>52387</xdr:rowOff>
    </xdr:from>
    <xdr:to>
      <xdr:col>13</xdr:col>
      <xdr:colOff>319087</xdr:colOff>
      <xdr:row>25</xdr:row>
      <xdr:rowOff>128587</xdr:rowOff>
    </xdr:to>
    <xdr:graphicFrame macro="">
      <xdr:nvGraphicFramePr>
        <xdr:cNvPr id="3" name="Gráfico 2">
          <a:extLst>
            <a:ext uri="{FF2B5EF4-FFF2-40B4-BE49-F238E27FC236}">
              <a16:creationId xmlns:a16="http://schemas.microsoft.com/office/drawing/2014/main" id="{543B3BB4-B3E0-5736-2C44-4D386C6392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27</xdr:row>
      <xdr:rowOff>0</xdr:rowOff>
    </xdr:from>
    <xdr:to>
      <xdr:col>13</xdr:col>
      <xdr:colOff>304800</xdr:colOff>
      <xdr:row>41</xdr:row>
      <xdr:rowOff>76200</xdr:rowOff>
    </xdr:to>
    <xdr:graphicFrame macro="">
      <xdr:nvGraphicFramePr>
        <xdr:cNvPr id="2" name="Gráfico 1">
          <a:extLst>
            <a:ext uri="{FF2B5EF4-FFF2-40B4-BE49-F238E27FC236}">
              <a16:creationId xmlns:a16="http://schemas.microsoft.com/office/drawing/2014/main" id="{C5056815-C847-45AB-9375-D266E9961A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11</xdr:col>
      <xdr:colOff>104775</xdr:colOff>
      <xdr:row>5</xdr:row>
      <xdr:rowOff>109537</xdr:rowOff>
    </xdr:from>
    <xdr:to>
      <xdr:col>18</xdr:col>
      <xdr:colOff>409575</xdr:colOff>
      <xdr:row>19</xdr:row>
      <xdr:rowOff>185737</xdr:rowOff>
    </xdr:to>
    <xdr:graphicFrame macro="">
      <xdr:nvGraphicFramePr>
        <xdr:cNvPr id="2" name="Gráfico 1">
          <a:extLst>
            <a:ext uri="{FF2B5EF4-FFF2-40B4-BE49-F238E27FC236}">
              <a16:creationId xmlns:a16="http://schemas.microsoft.com/office/drawing/2014/main" id="{6164E128-3562-E3FC-88D5-ED0A3DABE4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8</xdr:col>
      <xdr:colOff>314325</xdr:colOff>
      <xdr:row>0</xdr:row>
      <xdr:rowOff>185737</xdr:rowOff>
    </xdr:from>
    <xdr:to>
      <xdr:col>16</xdr:col>
      <xdr:colOff>238125</xdr:colOff>
      <xdr:row>15</xdr:row>
      <xdr:rowOff>71437</xdr:rowOff>
    </xdr:to>
    <xdr:graphicFrame macro="">
      <xdr:nvGraphicFramePr>
        <xdr:cNvPr id="2" name="Gráfico 1">
          <a:extLst>
            <a:ext uri="{FF2B5EF4-FFF2-40B4-BE49-F238E27FC236}">
              <a16:creationId xmlns:a16="http://schemas.microsoft.com/office/drawing/2014/main" id="{9CA3A6D8-1932-4A28-8702-D27BCA2E0D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238125</xdr:colOff>
      <xdr:row>29</xdr:row>
      <xdr:rowOff>100012</xdr:rowOff>
    </xdr:from>
    <xdr:to>
      <xdr:col>17</xdr:col>
      <xdr:colOff>161925</xdr:colOff>
      <xdr:row>43</xdr:row>
      <xdr:rowOff>176212</xdr:rowOff>
    </xdr:to>
    <xdr:graphicFrame macro="">
      <xdr:nvGraphicFramePr>
        <xdr:cNvPr id="3" name="Gráfico 2">
          <a:extLst>
            <a:ext uri="{FF2B5EF4-FFF2-40B4-BE49-F238E27FC236}">
              <a16:creationId xmlns:a16="http://schemas.microsoft.com/office/drawing/2014/main" id="{5051B335-B165-409D-8B14-6F301AFA18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352425</xdr:colOff>
      <xdr:row>18</xdr:row>
      <xdr:rowOff>33337</xdr:rowOff>
    </xdr:from>
    <xdr:to>
      <xdr:col>16</xdr:col>
      <xdr:colOff>276225</xdr:colOff>
      <xdr:row>32</xdr:row>
      <xdr:rowOff>109537</xdr:rowOff>
    </xdr:to>
    <xdr:graphicFrame macro="">
      <xdr:nvGraphicFramePr>
        <xdr:cNvPr id="4" name="Gráfico 3">
          <a:extLst>
            <a:ext uri="{FF2B5EF4-FFF2-40B4-BE49-F238E27FC236}">
              <a16:creationId xmlns:a16="http://schemas.microsoft.com/office/drawing/2014/main" id="{320C14D2-848F-88FA-8956-FB770C56D7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94884-DAB3-4007-BE79-97F89E5ACAC8}">
  <dimension ref="A1:G257"/>
  <sheetViews>
    <sheetView workbookViewId="0">
      <pane xSplit="1" ySplit="1" topLeftCell="B61" activePane="bottomRight" state="frozen"/>
      <selection pane="topRight" activeCell="B1" sqref="B1"/>
      <selection pane="bottomLeft" activeCell="A2" sqref="A2"/>
      <selection pane="bottomRight" activeCell="B70" sqref="B70"/>
    </sheetView>
  </sheetViews>
  <sheetFormatPr defaultRowHeight="15" x14ac:dyDescent="0.25"/>
  <sheetData>
    <row r="1" spans="1:7" x14ac:dyDescent="0.25">
      <c r="A1" t="s">
        <v>0</v>
      </c>
      <c r="B1" t="s">
        <v>1</v>
      </c>
      <c r="C1" t="s">
        <v>2</v>
      </c>
      <c r="D1" t="s">
        <v>3</v>
      </c>
      <c r="E1" t="s">
        <v>4</v>
      </c>
      <c r="F1" t="s">
        <v>5</v>
      </c>
      <c r="G1" t="s">
        <v>6</v>
      </c>
    </row>
    <row r="2" spans="1:7" x14ac:dyDescent="0.25">
      <c r="A2">
        <v>199</v>
      </c>
      <c r="B2">
        <v>19941</v>
      </c>
      <c r="C2" t="s">
        <v>7</v>
      </c>
      <c r="D2" t="s">
        <v>8</v>
      </c>
      <c r="E2" t="s">
        <v>9</v>
      </c>
      <c r="F2" t="s">
        <v>10</v>
      </c>
    </row>
    <row r="3" spans="1:7" x14ac:dyDescent="0.25">
      <c r="A3">
        <v>199</v>
      </c>
      <c r="B3">
        <v>19942</v>
      </c>
      <c r="C3" t="s">
        <v>11</v>
      </c>
      <c r="D3" t="s">
        <v>12</v>
      </c>
      <c r="E3" t="s">
        <v>13</v>
      </c>
      <c r="F3" t="s">
        <v>14</v>
      </c>
    </row>
    <row r="4" spans="1:7" x14ac:dyDescent="0.25">
      <c r="A4">
        <v>199</v>
      </c>
      <c r="B4">
        <v>19943</v>
      </c>
      <c r="C4" t="s">
        <v>15</v>
      </c>
      <c r="D4" t="s">
        <v>16</v>
      </c>
      <c r="E4" t="s">
        <v>17</v>
      </c>
      <c r="F4" t="s">
        <v>18</v>
      </c>
    </row>
    <row r="5" spans="1:7" x14ac:dyDescent="0.25">
      <c r="A5">
        <v>199</v>
      </c>
      <c r="B5">
        <v>19944</v>
      </c>
      <c r="C5" t="s">
        <v>19</v>
      </c>
      <c r="D5" t="s">
        <v>20</v>
      </c>
      <c r="E5" t="s">
        <v>21</v>
      </c>
      <c r="F5" t="s">
        <v>22</v>
      </c>
    </row>
    <row r="6" spans="1:7" x14ac:dyDescent="0.25">
      <c r="A6">
        <v>199</v>
      </c>
      <c r="B6">
        <v>19951</v>
      </c>
      <c r="C6" t="s">
        <v>23</v>
      </c>
      <c r="D6" t="s">
        <v>24</v>
      </c>
      <c r="E6" t="s">
        <v>25</v>
      </c>
      <c r="F6" t="s">
        <v>26</v>
      </c>
      <c r="G6" t="s">
        <v>27</v>
      </c>
    </row>
    <row r="7" spans="1:7" x14ac:dyDescent="0.25">
      <c r="A7">
        <v>199</v>
      </c>
      <c r="B7">
        <v>19952</v>
      </c>
      <c r="C7" t="s">
        <v>28</v>
      </c>
      <c r="D7" t="s">
        <v>29</v>
      </c>
      <c r="E7" t="s">
        <v>30</v>
      </c>
      <c r="F7" t="s">
        <v>31</v>
      </c>
      <c r="G7" t="s">
        <v>32</v>
      </c>
    </row>
    <row r="8" spans="1:7" x14ac:dyDescent="0.25">
      <c r="A8">
        <v>199</v>
      </c>
      <c r="B8">
        <v>19953</v>
      </c>
      <c r="C8" t="s">
        <v>33</v>
      </c>
      <c r="D8" t="s">
        <v>34</v>
      </c>
      <c r="E8" t="s">
        <v>35</v>
      </c>
      <c r="F8" t="s">
        <v>36</v>
      </c>
      <c r="G8" t="s">
        <v>37</v>
      </c>
    </row>
    <row r="9" spans="1:7" x14ac:dyDescent="0.25">
      <c r="A9">
        <v>199</v>
      </c>
      <c r="B9">
        <v>19954</v>
      </c>
      <c r="C9" t="s">
        <v>38</v>
      </c>
      <c r="D9" t="s">
        <v>39</v>
      </c>
      <c r="E9" t="s">
        <v>40</v>
      </c>
      <c r="F9" t="s">
        <v>41</v>
      </c>
      <c r="G9" t="s">
        <v>42</v>
      </c>
    </row>
    <row r="10" spans="1:7" x14ac:dyDescent="0.25">
      <c r="A10">
        <v>199</v>
      </c>
      <c r="B10">
        <v>19961</v>
      </c>
      <c r="C10" t="s">
        <v>43</v>
      </c>
      <c r="D10" t="s">
        <v>44</v>
      </c>
      <c r="E10" t="s">
        <v>45</v>
      </c>
      <c r="F10" t="s">
        <v>46</v>
      </c>
      <c r="G10" t="s">
        <v>47</v>
      </c>
    </row>
    <row r="11" spans="1:7" x14ac:dyDescent="0.25">
      <c r="A11">
        <v>199</v>
      </c>
      <c r="B11">
        <v>19962</v>
      </c>
      <c r="C11" t="s">
        <v>48</v>
      </c>
      <c r="D11" t="s">
        <v>49</v>
      </c>
      <c r="E11" t="s">
        <v>50</v>
      </c>
      <c r="F11" t="s">
        <v>51</v>
      </c>
      <c r="G11" t="s">
        <v>52</v>
      </c>
    </row>
    <row r="12" spans="1:7" x14ac:dyDescent="0.25">
      <c r="A12">
        <v>199</v>
      </c>
      <c r="B12">
        <v>19963</v>
      </c>
      <c r="C12" t="s">
        <v>53</v>
      </c>
      <c r="D12" t="s">
        <v>54</v>
      </c>
      <c r="E12" t="s">
        <v>55</v>
      </c>
      <c r="F12" t="s">
        <v>56</v>
      </c>
      <c r="G12" t="s">
        <v>57</v>
      </c>
    </row>
    <row r="13" spans="1:7" x14ac:dyDescent="0.25">
      <c r="A13">
        <v>199</v>
      </c>
      <c r="B13">
        <v>19964</v>
      </c>
      <c r="C13" t="s">
        <v>58</v>
      </c>
      <c r="D13" t="s">
        <v>59</v>
      </c>
      <c r="E13" t="s">
        <v>60</v>
      </c>
      <c r="F13" t="s">
        <v>61</v>
      </c>
      <c r="G13" t="s">
        <v>62</v>
      </c>
    </row>
    <row r="14" spans="1:7" x14ac:dyDescent="0.25">
      <c r="A14">
        <v>199</v>
      </c>
      <c r="B14">
        <v>19971</v>
      </c>
      <c r="C14" t="s">
        <v>63</v>
      </c>
      <c r="D14" t="s">
        <v>64</v>
      </c>
      <c r="E14" t="s">
        <v>65</v>
      </c>
      <c r="F14" t="s">
        <v>66</v>
      </c>
      <c r="G14" t="s">
        <v>67</v>
      </c>
    </row>
    <row r="15" spans="1:7" x14ac:dyDescent="0.25">
      <c r="A15">
        <v>199</v>
      </c>
      <c r="B15">
        <v>19972</v>
      </c>
      <c r="C15" t="s">
        <v>68</v>
      </c>
      <c r="D15" t="s">
        <v>69</v>
      </c>
      <c r="E15" t="s">
        <v>70</v>
      </c>
      <c r="F15" t="s">
        <v>71</v>
      </c>
      <c r="G15" t="s">
        <v>72</v>
      </c>
    </row>
    <row r="16" spans="1:7" x14ac:dyDescent="0.25">
      <c r="A16">
        <v>199</v>
      </c>
      <c r="B16">
        <v>19973</v>
      </c>
      <c r="C16" t="s">
        <v>73</v>
      </c>
      <c r="D16" t="s">
        <v>74</v>
      </c>
      <c r="E16" t="s">
        <v>75</v>
      </c>
      <c r="F16" t="s">
        <v>76</v>
      </c>
      <c r="G16" t="s">
        <v>77</v>
      </c>
    </row>
    <row r="17" spans="1:7" x14ac:dyDescent="0.25">
      <c r="A17">
        <v>199</v>
      </c>
      <c r="B17">
        <v>19974</v>
      </c>
      <c r="C17" t="s">
        <v>78</v>
      </c>
      <c r="D17" t="s">
        <v>79</v>
      </c>
      <c r="E17" t="s">
        <v>80</v>
      </c>
      <c r="F17" t="s">
        <v>81</v>
      </c>
      <c r="G17" t="s">
        <v>82</v>
      </c>
    </row>
    <row r="18" spans="1:7" x14ac:dyDescent="0.25">
      <c r="A18">
        <v>199</v>
      </c>
      <c r="B18">
        <v>19981</v>
      </c>
      <c r="C18" t="s">
        <v>83</v>
      </c>
      <c r="D18" t="s">
        <v>84</v>
      </c>
      <c r="E18" t="s">
        <v>85</v>
      </c>
      <c r="F18" t="s">
        <v>86</v>
      </c>
      <c r="G18" t="s">
        <v>87</v>
      </c>
    </row>
    <row r="19" spans="1:7" x14ac:dyDescent="0.25">
      <c r="A19">
        <v>199</v>
      </c>
      <c r="B19">
        <v>19982</v>
      </c>
      <c r="C19" t="s">
        <v>88</v>
      </c>
      <c r="D19" t="s">
        <v>89</v>
      </c>
      <c r="E19" t="s">
        <v>90</v>
      </c>
      <c r="F19" t="s">
        <v>91</v>
      </c>
      <c r="G19" t="s">
        <v>92</v>
      </c>
    </row>
    <row r="20" spans="1:7" x14ac:dyDescent="0.25">
      <c r="A20">
        <v>199</v>
      </c>
      <c r="B20">
        <v>19983</v>
      </c>
      <c r="C20" t="s">
        <v>93</v>
      </c>
      <c r="D20" t="s">
        <v>94</v>
      </c>
      <c r="E20" t="s">
        <v>95</v>
      </c>
      <c r="F20" t="s">
        <v>96</v>
      </c>
      <c r="G20" t="s">
        <v>97</v>
      </c>
    </row>
    <row r="21" spans="1:7" x14ac:dyDescent="0.25">
      <c r="A21">
        <v>199</v>
      </c>
      <c r="B21">
        <v>19984</v>
      </c>
      <c r="C21" t="s">
        <v>98</v>
      </c>
      <c r="D21" t="s">
        <v>99</v>
      </c>
      <c r="E21" t="s">
        <v>100</v>
      </c>
      <c r="F21" t="s">
        <v>101</v>
      </c>
      <c r="G21" t="s">
        <v>102</v>
      </c>
    </row>
    <row r="22" spans="1:7" x14ac:dyDescent="0.25">
      <c r="A22">
        <v>199</v>
      </c>
      <c r="B22">
        <v>19991</v>
      </c>
      <c r="C22" t="s">
        <v>103</v>
      </c>
      <c r="D22" t="s">
        <v>104</v>
      </c>
      <c r="E22" t="s">
        <v>105</v>
      </c>
      <c r="F22" t="s">
        <v>106</v>
      </c>
      <c r="G22" t="s">
        <v>107</v>
      </c>
    </row>
    <row r="23" spans="1:7" x14ac:dyDescent="0.25">
      <c r="A23">
        <v>199</v>
      </c>
      <c r="B23">
        <v>19992</v>
      </c>
      <c r="C23" t="s">
        <v>108</v>
      </c>
      <c r="D23" t="s">
        <v>109</v>
      </c>
      <c r="E23" t="s">
        <v>110</v>
      </c>
      <c r="F23" t="s">
        <v>111</v>
      </c>
      <c r="G23" t="s">
        <v>112</v>
      </c>
    </row>
    <row r="24" spans="1:7" x14ac:dyDescent="0.25">
      <c r="A24">
        <v>199</v>
      </c>
      <c r="B24">
        <v>19993</v>
      </c>
      <c r="C24" t="s">
        <v>113</v>
      </c>
      <c r="D24" t="s">
        <v>114</v>
      </c>
      <c r="E24" t="s">
        <v>115</v>
      </c>
      <c r="F24" t="s">
        <v>116</v>
      </c>
      <c r="G24" t="s">
        <v>117</v>
      </c>
    </row>
    <row r="25" spans="1:7" x14ac:dyDescent="0.25">
      <c r="A25">
        <v>199</v>
      </c>
      <c r="B25">
        <v>19994</v>
      </c>
      <c r="C25" t="s">
        <v>118</v>
      </c>
      <c r="D25" t="s">
        <v>119</v>
      </c>
      <c r="E25" t="s">
        <v>120</v>
      </c>
      <c r="F25" t="s">
        <v>121</v>
      </c>
      <c r="G25" t="s">
        <v>122</v>
      </c>
    </row>
    <row r="26" spans="1:7" x14ac:dyDescent="0.25">
      <c r="A26">
        <v>199</v>
      </c>
      <c r="B26">
        <v>20001</v>
      </c>
      <c r="C26" t="s">
        <v>123</v>
      </c>
      <c r="D26" t="s">
        <v>124</v>
      </c>
      <c r="E26" t="s">
        <v>125</v>
      </c>
      <c r="F26" t="s">
        <v>126</v>
      </c>
      <c r="G26" t="s">
        <v>127</v>
      </c>
    </row>
    <row r="27" spans="1:7" x14ac:dyDescent="0.25">
      <c r="A27">
        <v>199</v>
      </c>
      <c r="B27">
        <v>20002</v>
      </c>
      <c r="C27" t="s">
        <v>128</v>
      </c>
      <c r="D27" t="s">
        <v>129</v>
      </c>
      <c r="E27" t="s">
        <v>130</v>
      </c>
      <c r="F27" t="s">
        <v>131</v>
      </c>
      <c r="G27" t="s">
        <v>132</v>
      </c>
    </row>
    <row r="28" spans="1:7" x14ac:dyDescent="0.25">
      <c r="A28">
        <v>199</v>
      </c>
      <c r="B28">
        <v>20003</v>
      </c>
      <c r="C28" t="s">
        <v>133</v>
      </c>
      <c r="D28" t="s">
        <v>134</v>
      </c>
      <c r="E28" t="s">
        <v>135</v>
      </c>
      <c r="F28" t="s">
        <v>136</v>
      </c>
      <c r="G28" t="s">
        <v>137</v>
      </c>
    </row>
    <row r="29" spans="1:7" x14ac:dyDescent="0.25">
      <c r="A29">
        <v>199</v>
      </c>
      <c r="B29">
        <v>20004</v>
      </c>
      <c r="C29" t="s">
        <v>138</v>
      </c>
      <c r="D29" t="s">
        <v>139</v>
      </c>
      <c r="E29" t="s">
        <v>140</v>
      </c>
      <c r="F29" t="s">
        <v>141</v>
      </c>
      <c r="G29" t="s">
        <v>142</v>
      </c>
    </row>
    <row r="30" spans="1:7" x14ac:dyDescent="0.25">
      <c r="A30">
        <v>199</v>
      </c>
      <c r="B30">
        <v>20011</v>
      </c>
      <c r="C30" t="s">
        <v>143</v>
      </c>
      <c r="D30" t="s">
        <v>144</v>
      </c>
      <c r="E30" t="s">
        <v>145</v>
      </c>
      <c r="F30" t="s">
        <v>146</v>
      </c>
      <c r="G30" t="s">
        <v>147</v>
      </c>
    </row>
    <row r="31" spans="1:7" x14ac:dyDescent="0.25">
      <c r="A31">
        <v>199</v>
      </c>
      <c r="B31">
        <v>20012</v>
      </c>
      <c r="C31" t="s">
        <v>148</v>
      </c>
      <c r="D31" t="s">
        <v>149</v>
      </c>
      <c r="E31" t="s">
        <v>150</v>
      </c>
      <c r="F31" t="s">
        <v>151</v>
      </c>
      <c r="G31" t="s">
        <v>152</v>
      </c>
    </row>
    <row r="32" spans="1:7" x14ac:dyDescent="0.25">
      <c r="A32">
        <v>199</v>
      </c>
      <c r="B32">
        <v>20013</v>
      </c>
      <c r="C32" t="s">
        <v>153</v>
      </c>
      <c r="D32" t="s">
        <v>154</v>
      </c>
      <c r="E32" t="s">
        <v>155</v>
      </c>
      <c r="F32" t="s">
        <v>156</v>
      </c>
      <c r="G32" t="s">
        <v>157</v>
      </c>
    </row>
    <row r="33" spans="1:7" x14ac:dyDescent="0.25">
      <c r="A33">
        <v>199</v>
      </c>
      <c r="B33">
        <v>20014</v>
      </c>
      <c r="C33" t="s">
        <v>158</v>
      </c>
      <c r="D33" t="s">
        <v>159</v>
      </c>
      <c r="E33" t="s">
        <v>160</v>
      </c>
      <c r="F33" t="s">
        <v>161</v>
      </c>
      <c r="G33" t="s">
        <v>162</v>
      </c>
    </row>
    <row r="34" spans="1:7" x14ac:dyDescent="0.25">
      <c r="A34">
        <v>213</v>
      </c>
      <c r="B34">
        <v>19941</v>
      </c>
      <c r="C34" t="s">
        <v>163</v>
      </c>
      <c r="D34" t="s">
        <v>164</v>
      </c>
      <c r="E34" t="s">
        <v>165</v>
      </c>
      <c r="F34" t="s">
        <v>10</v>
      </c>
      <c r="G34" t="s">
        <v>166</v>
      </c>
    </row>
    <row r="35" spans="1:7" x14ac:dyDescent="0.25">
      <c r="A35">
        <v>213</v>
      </c>
      <c r="B35">
        <v>19942</v>
      </c>
      <c r="C35" t="s">
        <v>167</v>
      </c>
      <c r="D35" t="s">
        <v>168</v>
      </c>
      <c r="E35" t="s">
        <v>169</v>
      </c>
      <c r="F35" t="s">
        <v>14</v>
      </c>
      <c r="G35" t="s">
        <v>170</v>
      </c>
    </row>
    <row r="36" spans="1:7" x14ac:dyDescent="0.25">
      <c r="A36">
        <v>213</v>
      </c>
      <c r="B36">
        <v>19943</v>
      </c>
      <c r="C36" t="s">
        <v>171</v>
      </c>
      <c r="D36" t="s">
        <v>172</v>
      </c>
      <c r="E36" t="s">
        <v>173</v>
      </c>
      <c r="F36" t="s">
        <v>18</v>
      </c>
      <c r="G36" t="s">
        <v>174</v>
      </c>
    </row>
    <row r="37" spans="1:7" x14ac:dyDescent="0.25">
      <c r="A37">
        <v>213</v>
      </c>
      <c r="B37">
        <v>19944</v>
      </c>
      <c r="C37" t="s">
        <v>175</v>
      </c>
      <c r="D37" t="s">
        <v>176</v>
      </c>
      <c r="E37" t="s">
        <v>177</v>
      </c>
      <c r="F37" t="s">
        <v>22</v>
      </c>
      <c r="G37" t="s">
        <v>178</v>
      </c>
    </row>
    <row r="38" spans="1:7" x14ac:dyDescent="0.25">
      <c r="A38">
        <v>213</v>
      </c>
      <c r="B38">
        <v>19951</v>
      </c>
      <c r="C38" t="s">
        <v>179</v>
      </c>
      <c r="D38" t="s">
        <v>180</v>
      </c>
      <c r="E38" t="s">
        <v>181</v>
      </c>
      <c r="F38" t="s">
        <v>26</v>
      </c>
      <c r="G38" t="s">
        <v>182</v>
      </c>
    </row>
    <row r="39" spans="1:7" x14ac:dyDescent="0.25">
      <c r="A39">
        <v>213</v>
      </c>
      <c r="B39">
        <v>19952</v>
      </c>
      <c r="C39" t="s">
        <v>183</v>
      </c>
      <c r="D39" t="s">
        <v>184</v>
      </c>
      <c r="E39" t="s">
        <v>185</v>
      </c>
      <c r="F39" t="s">
        <v>31</v>
      </c>
      <c r="G39" t="s">
        <v>186</v>
      </c>
    </row>
    <row r="40" spans="1:7" x14ac:dyDescent="0.25">
      <c r="A40">
        <v>213</v>
      </c>
      <c r="B40">
        <v>19953</v>
      </c>
      <c r="C40" t="s">
        <v>187</v>
      </c>
      <c r="D40" t="s">
        <v>188</v>
      </c>
      <c r="E40" t="s">
        <v>189</v>
      </c>
      <c r="F40" t="s">
        <v>36</v>
      </c>
      <c r="G40" t="s">
        <v>190</v>
      </c>
    </row>
    <row r="41" spans="1:7" x14ac:dyDescent="0.25">
      <c r="A41">
        <v>213</v>
      </c>
      <c r="B41">
        <v>19954</v>
      </c>
      <c r="C41" t="s">
        <v>191</v>
      </c>
      <c r="D41" t="s">
        <v>192</v>
      </c>
      <c r="E41" t="s">
        <v>193</v>
      </c>
      <c r="F41" t="s">
        <v>41</v>
      </c>
      <c r="G41" t="s">
        <v>194</v>
      </c>
    </row>
    <row r="42" spans="1:7" x14ac:dyDescent="0.25">
      <c r="A42">
        <v>213</v>
      </c>
      <c r="B42">
        <v>19961</v>
      </c>
      <c r="C42" t="s">
        <v>195</v>
      </c>
      <c r="D42" t="s">
        <v>196</v>
      </c>
      <c r="E42" t="s">
        <v>197</v>
      </c>
      <c r="F42" t="s">
        <v>46</v>
      </c>
      <c r="G42" t="s">
        <v>198</v>
      </c>
    </row>
    <row r="43" spans="1:7" x14ac:dyDescent="0.25">
      <c r="A43">
        <v>213</v>
      </c>
      <c r="B43">
        <v>19962</v>
      </c>
      <c r="C43" t="s">
        <v>199</v>
      </c>
      <c r="D43" t="s">
        <v>200</v>
      </c>
      <c r="E43" t="s">
        <v>201</v>
      </c>
      <c r="F43" t="s">
        <v>51</v>
      </c>
      <c r="G43" t="s">
        <v>202</v>
      </c>
    </row>
    <row r="44" spans="1:7" x14ac:dyDescent="0.25">
      <c r="A44">
        <v>213</v>
      </c>
      <c r="B44">
        <v>19963</v>
      </c>
      <c r="C44" t="s">
        <v>203</v>
      </c>
      <c r="D44" t="s">
        <v>204</v>
      </c>
      <c r="E44" t="s">
        <v>205</v>
      </c>
      <c r="F44" t="s">
        <v>56</v>
      </c>
      <c r="G44" t="s">
        <v>206</v>
      </c>
    </row>
    <row r="45" spans="1:7" x14ac:dyDescent="0.25">
      <c r="A45">
        <v>213</v>
      </c>
      <c r="B45">
        <v>19964</v>
      </c>
      <c r="C45" t="s">
        <v>207</v>
      </c>
      <c r="D45" t="s">
        <v>208</v>
      </c>
      <c r="E45" t="s">
        <v>209</v>
      </c>
      <c r="F45" t="s">
        <v>61</v>
      </c>
      <c r="G45" t="s">
        <v>210</v>
      </c>
    </row>
    <row r="46" spans="1:7" x14ac:dyDescent="0.25">
      <c r="A46">
        <v>213</v>
      </c>
      <c r="B46">
        <v>19971</v>
      </c>
      <c r="C46" t="s">
        <v>211</v>
      </c>
      <c r="D46" t="s">
        <v>212</v>
      </c>
      <c r="E46" t="s">
        <v>213</v>
      </c>
      <c r="F46" t="s">
        <v>66</v>
      </c>
      <c r="G46" t="s">
        <v>214</v>
      </c>
    </row>
    <row r="47" spans="1:7" x14ac:dyDescent="0.25">
      <c r="A47">
        <v>213</v>
      </c>
      <c r="B47">
        <v>19972</v>
      </c>
      <c r="C47" t="s">
        <v>215</v>
      </c>
      <c r="D47" t="s">
        <v>216</v>
      </c>
      <c r="E47" t="s">
        <v>217</v>
      </c>
      <c r="F47" t="s">
        <v>71</v>
      </c>
      <c r="G47" t="s">
        <v>218</v>
      </c>
    </row>
    <row r="48" spans="1:7" x14ac:dyDescent="0.25">
      <c r="A48">
        <v>213</v>
      </c>
      <c r="B48">
        <v>19973</v>
      </c>
      <c r="C48" t="s">
        <v>219</v>
      </c>
      <c r="D48" t="s">
        <v>220</v>
      </c>
      <c r="E48" t="s">
        <v>221</v>
      </c>
      <c r="F48" t="s">
        <v>76</v>
      </c>
      <c r="G48" t="s">
        <v>222</v>
      </c>
    </row>
    <row r="49" spans="1:7" x14ac:dyDescent="0.25">
      <c r="A49">
        <v>213</v>
      </c>
      <c r="B49">
        <v>19974</v>
      </c>
      <c r="C49" t="s">
        <v>223</v>
      </c>
      <c r="D49" t="s">
        <v>224</v>
      </c>
      <c r="E49" t="s">
        <v>225</v>
      </c>
      <c r="F49" t="s">
        <v>81</v>
      </c>
      <c r="G49" t="s">
        <v>226</v>
      </c>
    </row>
    <row r="50" spans="1:7" x14ac:dyDescent="0.25">
      <c r="A50">
        <v>213</v>
      </c>
      <c r="B50">
        <v>19981</v>
      </c>
      <c r="C50" t="s">
        <v>227</v>
      </c>
      <c r="D50" t="s">
        <v>228</v>
      </c>
      <c r="E50" t="s">
        <v>229</v>
      </c>
      <c r="F50" t="s">
        <v>86</v>
      </c>
      <c r="G50" t="s">
        <v>230</v>
      </c>
    </row>
    <row r="51" spans="1:7" x14ac:dyDescent="0.25">
      <c r="A51">
        <v>213</v>
      </c>
      <c r="B51">
        <v>19982</v>
      </c>
      <c r="C51" t="s">
        <v>231</v>
      </c>
      <c r="D51" t="s">
        <v>232</v>
      </c>
      <c r="E51" t="s">
        <v>233</v>
      </c>
      <c r="F51" t="s">
        <v>91</v>
      </c>
      <c r="G51" t="s">
        <v>234</v>
      </c>
    </row>
    <row r="52" spans="1:7" x14ac:dyDescent="0.25">
      <c r="A52">
        <v>213</v>
      </c>
      <c r="B52">
        <v>19983</v>
      </c>
      <c r="C52" t="s">
        <v>235</v>
      </c>
      <c r="D52" t="s">
        <v>236</v>
      </c>
      <c r="E52" t="s">
        <v>237</v>
      </c>
      <c r="F52" t="s">
        <v>96</v>
      </c>
      <c r="G52" t="s">
        <v>238</v>
      </c>
    </row>
    <row r="53" spans="1:7" x14ac:dyDescent="0.25">
      <c r="A53">
        <v>213</v>
      </c>
      <c r="B53">
        <v>19984</v>
      </c>
      <c r="C53" t="s">
        <v>239</v>
      </c>
      <c r="D53" t="s">
        <v>240</v>
      </c>
      <c r="E53" t="s">
        <v>241</v>
      </c>
      <c r="F53" t="s">
        <v>101</v>
      </c>
      <c r="G53" t="s">
        <v>242</v>
      </c>
    </row>
    <row r="54" spans="1:7" x14ac:dyDescent="0.25">
      <c r="A54">
        <v>213</v>
      </c>
      <c r="B54">
        <v>19991</v>
      </c>
      <c r="C54" t="s">
        <v>243</v>
      </c>
      <c r="D54" t="s">
        <v>244</v>
      </c>
      <c r="E54" t="s">
        <v>245</v>
      </c>
      <c r="F54" t="s">
        <v>106</v>
      </c>
      <c r="G54" t="s">
        <v>246</v>
      </c>
    </row>
    <row r="55" spans="1:7" x14ac:dyDescent="0.25">
      <c r="A55">
        <v>213</v>
      </c>
      <c r="B55">
        <v>19992</v>
      </c>
      <c r="C55" t="s">
        <v>247</v>
      </c>
      <c r="D55" t="s">
        <v>248</v>
      </c>
      <c r="E55" t="s">
        <v>249</v>
      </c>
      <c r="F55" t="s">
        <v>111</v>
      </c>
      <c r="G55" t="s">
        <v>250</v>
      </c>
    </row>
    <row r="56" spans="1:7" x14ac:dyDescent="0.25">
      <c r="A56">
        <v>213</v>
      </c>
      <c r="B56">
        <v>19993</v>
      </c>
      <c r="C56" t="s">
        <v>251</v>
      </c>
      <c r="D56" t="s">
        <v>252</v>
      </c>
      <c r="E56" t="s">
        <v>253</v>
      </c>
      <c r="F56" t="s">
        <v>116</v>
      </c>
      <c r="G56" t="s">
        <v>254</v>
      </c>
    </row>
    <row r="57" spans="1:7" x14ac:dyDescent="0.25">
      <c r="A57">
        <v>213</v>
      </c>
      <c r="B57">
        <v>19994</v>
      </c>
      <c r="C57" t="s">
        <v>255</v>
      </c>
      <c r="D57" t="s">
        <v>256</v>
      </c>
      <c r="E57" t="s">
        <v>257</v>
      </c>
      <c r="F57" t="s">
        <v>121</v>
      </c>
      <c r="G57" t="s">
        <v>258</v>
      </c>
    </row>
    <row r="58" spans="1:7" x14ac:dyDescent="0.25">
      <c r="A58">
        <v>213</v>
      </c>
      <c r="B58">
        <v>20001</v>
      </c>
      <c r="C58" t="s">
        <v>259</v>
      </c>
      <c r="D58" t="s">
        <v>260</v>
      </c>
      <c r="E58" t="s">
        <v>261</v>
      </c>
      <c r="F58" t="s">
        <v>126</v>
      </c>
      <c r="G58" t="s">
        <v>262</v>
      </c>
    </row>
    <row r="59" spans="1:7" x14ac:dyDescent="0.25">
      <c r="A59">
        <v>213</v>
      </c>
      <c r="B59">
        <v>20002</v>
      </c>
      <c r="C59" t="s">
        <v>263</v>
      </c>
      <c r="D59" t="s">
        <v>264</v>
      </c>
      <c r="E59" t="s">
        <v>265</v>
      </c>
      <c r="F59" t="s">
        <v>131</v>
      </c>
      <c r="G59" t="s">
        <v>266</v>
      </c>
    </row>
    <row r="60" spans="1:7" x14ac:dyDescent="0.25">
      <c r="A60">
        <v>213</v>
      </c>
      <c r="B60">
        <v>20003</v>
      </c>
      <c r="C60" t="s">
        <v>267</v>
      </c>
      <c r="D60" t="s">
        <v>268</v>
      </c>
      <c r="E60" t="s">
        <v>269</v>
      </c>
      <c r="F60" t="s">
        <v>136</v>
      </c>
      <c r="G60" t="s">
        <v>270</v>
      </c>
    </row>
    <row r="61" spans="1:7" x14ac:dyDescent="0.25">
      <c r="A61">
        <v>213</v>
      </c>
      <c r="B61">
        <v>20004</v>
      </c>
      <c r="C61" t="s">
        <v>271</v>
      </c>
      <c r="D61" t="s">
        <v>272</v>
      </c>
      <c r="E61" t="s">
        <v>273</v>
      </c>
      <c r="F61" t="s">
        <v>141</v>
      </c>
      <c r="G61" t="s">
        <v>274</v>
      </c>
    </row>
    <row r="62" spans="1:7" x14ac:dyDescent="0.25">
      <c r="A62">
        <v>213</v>
      </c>
      <c r="B62">
        <v>20011</v>
      </c>
      <c r="F62" t="s">
        <v>146</v>
      </c>
    </row>
    <row r="63" spans="1:7" x14ac:dyDescent="0.25">
      <c r="A63">
        <v>213</v>
      </c>
      <c r="B63">
        <v>20012</v>
      </c>
      <c r="F63" t="s">
        <v>151</v>
      </c>
    </row>
    <row r="64" spans="1:7" x14ac:dyDescent="0.25">
      <c r="A64">
        <v>213</v>
      </c>
      <c r="B64">
        <v>20013</v>
      </c>
      <c r="F64" t="s">
        <v>156</v>
      </c>
    </row>
    <row r="65" spans="1:7" x14ac:dyDescent="0.25">
      <c r="A65">
        <v>213</v>
      </c>
      <c r="B65">
        <v>20014</v>
      </c>
      <c r="F65" t="s">
        <v>161</v>
      </c>
    </row>
    <row r="66" spans="1:7" x14ac:dyDescent="0.25">
      <c r="A66">
        <v>223</v>
      </c>
      <c r="B66">
        <v>19941</v>
      </c>
      <c r="C66" t="s">
        <v>275</v>
      </c>
      <c r="D66" t="s">
        <v>276</v>
      </c>
      <c r="E66" t="s">
        <v>277</v>
      </c>
      <c r="F66" t="s">
        <v>10</v>
      </c>
    </row>
    <row r="67" spans="1:7" x14ac:dyDescent="0.25">
      <c r="A67">
        <v>223</v>
      </c>
      <c r="B67">
        <v>19942</v>
      </c>
      <c r="C67" t="s">
        <v>278</v>
      </c>
      <c r="D67" t="s">
        <v>279</v>
      </c>
      <c r="E67" t="s">
        <v>280</v>
      </c>
      <c r="F67" t="s">
        <v>14</v>
      </c>
    </row>
    <row r="68" spans="1:7" x14ac:dyDescent="0.25">
      <c r="A68">
        <v>223</v>
      </c>
      <c r="B68">
        <v>19943</v>
      </c>
      <c r="C68" t="s">
        <v>281</v>
      </c>
      <c r="D68" t="s">
        <v>282</v>
      </c>
      <c r="E68" t="s">
        <v>283</v>
      </c>
      <c r="F68" t="s">
        <v>18</v>
      </c>
      <c r="G68" t="s">
        <v>284</v>
      </c>
    </row>
    <row r="69" spans="1:7" x14ac:dyDescent="0.25">
      <c r="A69">
        <v>223</v>
      </c>
      <c r="B69">
        <v>19944</v>
      </c>
      <c r="C69" t="s">
        <v>285</v>
      </c>
      <c r="D69" t="s">
        <v>286</v>
      </c>
      <c r="E69" t="s">
        <v>287</v>
      </c>
      <c r="F69" t="s">
        <v>22</v>
      </c>
      <c r="G69" t="s">
        <v>288</v>
      </c>
    </row>
    <row r="70" spans="1:7" x14ac:dyDescent="0.25">
      <c r="A70">
        <v>223</v>
      </c>
      <c r="B70">
        <v>19951</v>
      </c>
      <c r="C70" t="s">
        <v>289</v>
      </c>
      <c r="D70" t="s">
        <v>290</v>
      </c>
      <c r="E70" t="s">
        <v>291</v>
      </c>
      <c r="F70" t="s">
        <v>26</v>
      </c>
      <c r="G70" t="s">
        <v>292</v>
      </c>
    </row>
    <row r="71" spans="1:7" x14ac:dyDescent="0.25">
      <c r="A71">
        <v>223</v>
      </c>
      <c r="B71">
        <v>19952</v>
      </c>
      <c r="C71" t="s">
        <v>293</v>
      </c>
      <c r="D71" t="s">
        <v>294</v>
      </c>
      <c r="E71" t="s">
        <v>295</v>
      </c>
      <c r="F71" t="s">
        <v>31</v>
      </c>
      <c r="G71" t="s">
        <v>296</v>
      </c>
    </row>
    <row r="72" spans="1:7" x14ac:dyDescent="0.25">
      <c r="A72">
        <v>223</v>
      </c>
      <c r="B72">
        <v>19953</v>
      </c>
      <c r="C72" t="s">
        <v>297</v>
      </c>
      <c r="D72" t="s">
        <v>298</v>
      </c>
      <c r="E72" t="s">
        <v>299</v>
      </c>
      <c r="F72" t="s">
        <v>36</v>
      </c>
      <c r="G72" t="s">
        <v>300</v>
      </c>
    </row>
    <row r="73" spans="1:7" x14ac:dyDescent="0.25">
      <c r="A73">
        <v>223</v>
      </c>
      <c r="B73">
        <v>19954</v>
      </c>
      <c r="C73" t="s">
        <v>301</v>
      </c>
      <c r="D73" t="s">
        <v>302</v>
      </c>
      <c r="E73" t="s">
        <v>303</v>
      </c>
      <c r="F73" t="s">
        <v>41</v>
      </c>
      <c r="G73" t="s">
        <v>304</v>
      </c>
    </row>
    <row r="74" spans="1:7" s="3" customFormat="1" x14ac:dyDescent="0.25">
      <c r="A74" s="3">
        <v>223</v>
      </c>
      <c r="B74" s="3">
        <v>19961</v>
      </c>
      <c r="C74" s="3" t="s">
        <v>305</v>
      </c>
      <c r="D74" s="3" t="s">
        <v>306</v>
      </c>
      <c r="E74" s="3" t="s">
        <v>307</v>
      </c>
      <c r="F74" s="3" t="s">
        <v>46</v>
      </c>
      <c r="G74" s="3" t="s">
        <v>308</v>
      </c>
    </row>
    <row r="75" spans="1:7" s="3" customFormat="1" x14ac:dyDescent="0.25">
      <c r="A75" s="3">
        <v>223</v>
      </c>
      <c r="B75" s="3">
        <v>19962</v>
      </c>
      <c r="C75" s="3" t="s">
        <v>309</v>
      </c>
      <c r="D75" s="3" t="s">
        <v>310</v>
      </c>
      <c r="E75" s="3" t="s">
        <v>311</v>
      </c>
      <c r="F75" s="3" t="s">
        <v>51</v>
      </c>
      <c r="G75" s="3" t="s">
        <v>312</v>
      </c>
    </row>
    <row r="76" spans="1:7" s="3" customFormat="1" x14ac:dyDescent="0.25">
      <c r="A76" s="3">
        <v>223</v>
      </c>
      <c r="B76" s="3">
        <v>19963</v>
      </c>
      <c r="C76" s="3" t="s">
        <v>313</v>
      </c>
      <c r="D76" s="3" t="s">
        <v>314</v>
      </c>
      <c r="E76" s="3" t="s">
        <v>315</v>
      </c>
      <c r="F76" s="3" t="s">
        <v>56</v>
      </c>
      <c r="G76" s="3" t="s">
        <v>316</v>
      </c>
    </row>
    <row r="77" spans="1:7" s="3" customFormat="1" x14ac:dyDescent="0.25">
      <c r="A77" s="3">
        <v>223</v>
      </c>
      <c r="B77" s="3">
        <v>19964</v>
      </c>
      <c r="C77" s="3" t="s">
        <v>317</v>
      </c>
      <c r="D77" s="3" t="s">
        <v>318</v>
      </c>
      <c r="E77" s="3" t="s">
        <v>319</v>
      </c>
      <c r="F77" s="3" t="s">
        <v>61</v>
      </c>
      <c r="G77" s="3" t="s">
        <v>320</v>
      </c>
    </row>
    <row r="78" spans="1:7" s="3" customFormat="1" x14ac:dyDescent="0.25">
      <c r="A78" s="3">
        <v>223</v>
      </c>
      <c r="B78" s="3">
        <v>19971</v>
      </c>
      <c r="C78" s="3" t="s">
        <v>321</v>
      </c>
      <c r="D78" s="3" t="s">
        <v>322</v>
      </c>
      <c r="E78" s="3" t="s">
        <v>323</v>
      </c>
      <c r="F78" s="3" t="s">
        <v>66</v>
      </c>
      <c r="G78" s="3" t="s">
        <v>324</v>
      </c>
    </row>
    <row r="79" spans="1:7" s="3" customFormat="1" x14ac:dyDescent="0.25">
      <c r="A79" s="3">
        <v>223</v>
      </c>
      <c r="B79" s="3">
        <v>19972</v>
      </c>
      <c r="C79" s="3" t="s">
        <v>325</v>
      </c>
      <c r="D79" s="3" t="s">
        <v>326</v>
      </c>
      <c r="E79" s="3" t="s">
        <v>327</v>
      </c>
      <c r="F79" s="3" t="s">
        <v>71</v>
      </c>
      <c r="G79" s="3" t="s">
        <v>328</v>
      </c>
    </row>
    <row r="80" spans="1:7" s="3" customFormat="1" x14ac:dyDescent="0.25">
      <c r="A80" s="3">
        <v>223</v>
      </c>
      <c r="B80" s="3">
        <v>19973</v>
      </c>
      <c r="C80" s="3" t="s">
        <v>329</v>
      </c>
      <c r="D80" s="3" t="s">
        <v>330</v>
      </c>
      <c r="E80" s="3" t="s">
        <v>331</v>
      </c>
      <c r="F80" s="3" t="s">
        <v>76</v>
      </c>
      <c r="G80" s="3" t="s">
        <v>332</v>
      </c>
    </row>
    <row r="81" spans="1:7" s="3" customFormat="1" x14ac:dyDescent="0.25">
      <c r="A81" s="3">
        <v>223</v>
      </c>
      <c r="B81" s="3">
        <v>19974</v>
      </c>
      <c r="C81" s="3" t="s">
        <v>333</v>
      </c>
      <c r="D81" s="3" t="s">
        <v>334</v>
      </c>
      <c r="E81" s="3" t="s">
        <v>335</v>
      </c>
      <c r="F81" s="3" t="s">
        <v>81</v>
      </c>
      <c r="G81" s="3" t="s">
        <v>336</v>
      </c>
    </row>
    <row r="82" spans="1:7" s="3" customFormat="1" x14ac:dyDescent="0.25">
      <c r="A82" s="3">
        <v>223</v>
      </c>
      <c r="B82" s="3">
        <v>19981</v>
      </c>
      <c r="C82" s="3" t="s">
        <v>337</v>
      </c>
      <c r="D82" s="3" t="s">
        <v>338</v>
      </c>
      <c r="E82" s="3" t="s">
        <v>339</v>
      </c>
      <c r="F82" s="3" t="s">
        <v>86</v>
      </c>
      <c r="G82" s="3" t="s">
        <v>340</v>
      </c>
    </row>
    <row r="83" spans="1:7" s="3" customFormat="1" x14ac:dyDescent="0.25">
      <c r="A83" s="3">
        <v>223</v>
      </c>
      <c r="B83" s="3">
        <v>19982</v>
      </c>
      <c r="C83" s="3" t="s">
        <v>341</v>
      </c>
      <c r="D83" s="3" t="s">
        <v>342</v>
      </c>
      <c r="E83" s="3" t="s">
        <v>343</v>
      </c>
      <c r="F83" s="3" t="s">
        <v>91</v>
      </c>
      <c r="G83" s="3" t="s">
        <v>344</v>
      </c>
    </row>
    <row r="84" spans="1:7" s="3" customFormat="1" x14ac:dyDescent="0.25">
      <c r="A84" s="3">
        <v>223</v>
      </c>
      <c r="B84" s="3">
        <v>19983</v>
      </c>
      <c r="C84" s="3" t="s">
        <v>345</v>
      </c>
      <c r="D84" s="3" t="s">
        <v>346</v>
      </c>
      <c r="E84" s="3" t="s">
        <v>347</v>
      </c>
      <c r="F84" s="3" t="s">
        <v>96</v>
      </c>
      <c r="G84" s="3" t="s">
        <v>348</v>
      </c>
    </row>
    <row r="85" spans="1:7" s="3" customFormat="1" x14ac:dyDescent="0.25">
      <c r="A85" s="3">
        <v>223</v>
      </c>
      <c r="B85" s="3">
        <v>19984</v>
      </c>
      <c r="C85" s="3" t="s">
        <v>349</v>
      </c>
      <c r="D85" s="3" t="s">
        <v>350</v>
      </c>
      <c r="E85" s="3" t="s">
        <v>351</v>
      </c>
      <c r="F85" s="3" t="s">
        <v>101</v>
      </c>
      <c r="G85" s="3" t="s">
        <v>352</v>
      </c>
    </row>
    <row r="86" spans="1:7" s="3" customFormat="1" x14ac:dyDescent="0.25">
      <c r="A86" s="3">
        <v>223</v>
      </c>
      <c r="B86" s="3">
        <v>19991</v>
      </c>
      <c r="C86" s="3" t="s">
        <v>353</v>
      </c>
      <c r="D86" s="3" t="s">
        <v>354</v>
      </c>
      <c r="E86" s="3" t="s">
        <v>355</v>
      </c>
      <c r="F86" s="3" t="s">
        <v>106</v>
      </c>
      <c r="G86" s="3" t="s">
        <v>356</v>
      </c>
    </row>
    <row r="87" spans="1:7" s="3" customFormat="1" x14ac:dyDescent="0.25">
      <c r="A87" s="3">
        <v>223</v>
      </c>
      <c r="B87" s="3">
        <v>19992</v>
      </c>
      <c r="C87" s="3" t="s">
        <v>357</v>
      </c>
      <c r="D87" s="3" t="s">
        <v>358</v>
      </c>
      <c r="E87" s="3" t="s">
        <v>359</v>
      </c>
      <c r="F87" s="3" t="s">
        <v>111</v>
      </c>
      <c r="G87" s="3" t="s">
        <v>360</v>
      </c>
    </row>
    <row r="88" spans="1:7" s="3" customFormat="1" x14ac:dyDescent="0.25">
      <c r="A88" s="3">
        <v>223</v>
      </c>
      <c r="B88" s="3">
        <v>19993</v>
      </c>
      <c r="C88" s="3" t="s">
        <v>361</v>
      </c>
      <c r="D88" s="3" t="s">
        <v>362</v>
      </c>
      <c r="E88" s="3" t="s">
        <v>363</v>
      </c>
      <c r="F88" s="3" t="s">
        <v>116</v>
      </c>
      <c r="G88" s="3" t="s">
        <v>364</v>
      </c>
    </row>
    <row r="89" spans="1:7" s="3" customFormat="1" x14ac:dyDescent="0.25">
      <c r="A89" s="3">
        <v>223</v>
      </c>
      <c r="B89" s="3">
        <v>19994</v>
      </c>
      <c r="C89" s="3" t="s">
        <v>365</v>
      </c>
      <c r="D89" s="3" t="s">
        <v>366</v>
      </c>
      <c r="E89" s="3" t="s">
        <v>367</v>
      </c>
      <c r="F89" s="3" t="s">
        <v>121</v>
      </c>
      <c r="G89" s="3" t="s">
        <v>368</v>
      </c>
    </row>
    <row r="90" spans="1:7" s="3" customFormat="1" x14ac:dyDescent="0.25">
      <c r="A90" s="3">
        <v>223</v>
      </c>
      <c r="B90" s="3">
        <v>20001</v>
      </c>
      <c r="C90" s="3" t="s">
        <v>369</v>
      </c>
      <c r="D90" s="3" t="s">
        <v>370</v>
      </c>
      <c r="E90" s="3" t="s">
        <v>371</v>
      </c>
      <c r="F90" s="3" t="s">
        <v>126</v>
      </c>
      <c r="G90" s="3" t="s">
        <v>372</v>
      </c>
    </row>
    <row r="91" spans="1:7" s="3" customFormat="1" x14ac:dyDescent="0.25">
      <c r="A91" s="3">
        <v>223</v>
      </c>
      <c r="B91" s="3">
        <v>20002</v>
      </c>
      <c r="C91" s="3" t="s">
        <v>373</v>
      </c>
      <c r="D91" s="3" t="s">
        <v>374</v>
      </c>
      <c r="E91" s="3" t="s">
        <v>375</v>
      </c>
      <c r="F91" s="3" t="s">
        <v>131</v>
      </c>
      <c r="G91" s="3" t="s">
        <v>376</v>
      </c>
    </row>
    <row r="92" spans="1:7" s="3" customFormat="1" x14ac:dyDescent="0.25">
      <c r="A92" s="3">
        <v>223</v>
      </c>
      <c r="B92" s="3">
        <v>20003</v>
      </c>
      <c r="C92" s="3" t="s">
        <v>377</v>
      </c>
      <c r="D92" s="3" t="s">
        <v>378</v>
      </c>
      <c r="E92" s="3" t="s">
        <v>379</v>
      </c>
      <c r="F92" s="3" t="s">
        <v>136</v>
      </c>
      <c r="G92" s="3" t="s">
        <v>380</v>
      </c>
    </row>
    <row r="93" spans="1:7" s="3" customFormat="1" x14ac:dyDescent="0.25">
      <c r="A93" s="3">
        <v>223</v>
      </c>
      <c r="B93" s="3">
        <v>20004</v>
      </c>
      <c r="C93" s="3" t="s">
        <v>381</v>
      </c>
      <c r="D93" s="3" t="s">
        <v>382</v>
      </c>
      <c r="E93" s="3" t="s">
        <v>383</v>
      </c>
      <c r="F93" s="3" t="s">
        <v>141</v>
      </c>
      <c r="G93" s="3" t="s">
        <v>384</v>
      </c>
    </row>
    <row r="94" spans="1:7" s="3" customFormat="1" x14ac:dyDescent="0.25">
      <c r="A94" s="3">
        <v>223</v>
      </c>
      <c r="B94" s="3">
        <v>20011</v>
      </c>
      <c r="C94" s="3" t="s">
        <v>385</v>
      </c>
      <c r="D94" s="3" t="s">
        <v>386</v>
      </c>
      <c r="E94" s="3" t="s">
        <v>387</v>
      </c>
      <c r="F94" s="3" t="s">
        <v>146</v>
      </c>
      <c r="G94" s="3" t="s">
        <v>388</v>
      </c>
    </row>
    <row r="95" spans="1:7" s="3" customFormat="1" x14ac:dyDescent="0.25">
      <c r="A95" s="3">
        <v>223</v>
      </c>
      <c r="B95" s="3">
        <v>20012</v>
      </c>
      <c r="C95" s="3" t="s">
        <v>389</v>
      </c>
      <c r="D95" s="3" t="s">
        <v>390</v>
      </c>
      <c r="E95" s="3" t="s">
        <v>391</v>
      </c>
      <c r="F95" s="3" t="s">
        <v>151</v>
      </c>
      <c r="G95" s="3" t="s">
        <v>392</v>
      </c>
    </row>
    <row r="96" spans="1:7" s="3" customFormat="1" x14ac:dyDescent="0.25">
      <c r="A96" s="3">
        <v>223</v>
      </c>
      <c r="B96" s="3">
        <v>20013</v>
      </c>
      <c r="C96" s="3" t="s">
        <v>393</v>
      </c>
      <c r="D96" s="3" t="s">
        <v>394</v>
      </c>
      <c r="E96" s="3" t="s">
        <v>395</v>
      </c>
      <c r="F96" s="3" t="s">
        <v>156</v>
      </c>
      <c r="G96" s="3" t="s">
        <v>396</v>
      </c>
    </row>
    <row r="97" spans="1:7" s="3" customFormat="1" x14ac:dyDescent="0.25">
      <c r="A97" s="3">
        <v>223</v>
      </c>
      <c r="B97" s="3">
        <v>20014</v>
      </c>
      <c r="C97" s="3" t="s">
        <v>397</v>
      </c>
      <c r="D97" s="3" t="s">
        <v>398</v>
      </c>
      <c r="E97" s="3" t="s">
        <v>399</v>
      </c>
      <c r="F97" s="3" t="s">
        <v>161</v>
      </c>
      <c r="G97" s="3" t="s">
        <v>400</v>
      </c>
    </row>
    <row r="98" spans="1:7" x14ac:dyDescent="0.25">
      <c r="A98">
        <v>248</v>
      </c>
      <c r="B98">
        <v>19941</v>
      </c>
      <c r="C98" t="s">
        <v>401</v>
      </c>
      <c r="D98" t="s">
        <v>402</v>
      </c>
      <c r="E98" t="s">
        <v>403</v>
      </c>
      <c r="F98" t="s">
        <v>10</v>
      </c>
    </row>
    <row r="99" spans="1:7" x14ac:dyDescent="0.25">
      <c r="A99">
        <v>248</v>
      </c>
      <c r="B99">
        <v>19942</v>
      </c>
      <c r="C99" t="s">
        <v>404</v>
      </c>
      <c r="D99" t="s">
        <v>405</v>
      </c>
      <c r="E99" t="s">
        <v>406</v>
      </c>
      <c r="F99" t="s">
        <v>14</v>
      </c>
    </row>
    <row r="100" spans="1:7" x14ac:dyDescent="0.25">
      <c r="A100">
        <v>248</v>
      </c>
      <c r="B100">
        <v>19943</v>
      </c>
      <c r="C100" t="s">
        <v>407</v>
      </c>
      <c r="D100" t="s">
        <v>408</v>
      </c>
      <c r="E100" t="s">
        <v>409</v>
      </c>
      <c r="F100" t="s">
        <v>18</v>
      </c>
    </row>
    <row r="101" spans="1:7" x14ac:dyDescent="0.25">
      <c r="A101">
        <v>248</v>
      </c>
      <c r="B101">
        <v>19944</v>
      </c>
      <c r="C101" t="s">
        <v>410</v>
      </c>
      <c r="D101" t="s">
        <v>411</v>
      </c>
      <c r="E101" t="s">
        <v>412</v>
      </c>
      <c r="F101" t="s">
        <v>22</v>
      </c>
    </row>
    <row r="102" spans="1:7" x14ac:dyDescent="0.25">
      <c r="A102">
        <v>248</v>
      </c>
      <c r="B102">
        <v>19951</v>
      </c>
      <c r="C102" t="s">
        <v>413</v>
      </c>
      <c r="D102" t="s">
        <v>414</v>
      </c>
      <c r="E102" t="s">
        <v>415</v>
      </c>
      <c r="F102" t="s">
        <v>26</v>
      </c>
    </row>
    <row r="103" spans="1:7" x14ac:dyDescent="0.25">
      <c r="A103">
        <v>248</v>
      </c>
      <c r="B103">
        <v>19952</v>
      </c>
      <c r="C103" t="s">
        <v>416</v>
      </c>
      <c r="D103" t="s">
        <v>417</v>
      </c>
      <c r="E103" t="s">
        <v>418</v>
      </c>
      <c r="F103" t="s">
        <v>31</v>
      </c>
      <c r="G103" t="s">
        <v>419</v>
      </c>
    </row>
    <row r="104" spans="1:7" x14ac:dyDescent="0.25">
      <c r="A104">
        <v>248</v>
      </c>
      <c r="B104">
        <v>19953</v>
      </c>
      <c r="C104" t="s">
        <v>420</v>
      </c>
      <c r="D104" t="s">
        <v>421</v>
      </c>
      <c r="E104" t="s">
        <v>422</v>
      </c>
      <c r="F104" t="s">
        <v>36</v>
      </c>
      <c r="G104" t="s">
        <v>423</v>
      </c>
    </row>
    <row r="105" spans="1:7" x14ac:dyDescent="0.25">
      <c r="A105">
        <v>248</v>
      </c>
      <c r="B105">
        <v>19954</v>
      </c>
      <c r="C105" t="s">
        <v>424</v>
      </c>
      <c r="D105" t="s">
        <v>425</v>
      </c>
      <c r="E105" t="s">
        <v>426</v>
      </c>
      <c r="F105" t="s">
        <v>41</v>
      </c>
      <c r="G105" t="s">
        <v>427</v>
      </c>
    </row>
    <row r="106" spans="1:7" x14ac:dyDescent="0.25">
      <c r="A106">
        <v>248</v>
      </c>
      <c r="B106">
        <v>19961</v>
      </c>
      <c r="C106" t="s">
        <v>428</v>
      </c>
      <c r="D106" t="s">
        <v>429</v>
      </c>
      <c r="E106" t="s">
        <v>430</v>
      </c>
      <c r="F106" t="s">
        <v>46</v>
      </c>
      <c r="G106" t="s">
        <v>431</v>
      </c>
    </row>
    <row r="107" spans="1:7" x14ac:dyDescent="0.25">
      <c r="A107">
        <v>248</v>
      </c>
      <c r="B107">
        <v>19962</v>
      </c>
      <c r="C107" t="s">
        <v>432</v>
      </c>
      <c r="D107" t="s">
        <v>433</v>
      </c>
      <c r="E107" t="s">
        <v>434</v>
      </c>
      <c r="F107" t="s">
        <v>51</v>
      </c>
      <c r="G107" t="s">
        <v>435</v>
      </c>
    </row>
    <row r="108" spans="1:7" x14ac:dyDescent="0.25">
      <c r="A108">
        <v>248</v>
      </c>
      <c r="B108">
        <v>19963</v>
      </c>
      <c r="C108" t="s">
        <v>436</v>
      </c>
      <c r="D108" t="s">
        <v>437</v>
      </c>
      <c r="E108" t="s">
        <v>438</v>
      </c>
      <c r="F108" t="s">
        <v>56</v>
      </c>
      <c r="G108" t="s">
        <v>439</v>
      </c>
    </row>
    <row r="109" spans="1:7" x14ac:dyDescent="0.25">
      <c r="A109">
        <v>248</v>
      </c>
      <c r="B109">
        <v>19964</v>
      </c>
      <c r="C109" t="s">
        <v>440</v>
      </c>
      <c r="D109" t="s">
        <v>441</v>
      </c>
      <c r="E109" t="s">
        <v>442</v>
      </c>
      <c r="F109" t="s">
        <v>61</v>
      </c>
      <c r="G109" t="s">
        <v>443</v>
      </c>
    </row>
    <row r="110" spans="1:7" x14ac:dyDescent="0.25">
      <c r="A110">
        <v>248</v>
      </c>
      <c r="B110">
        <v>19971</v>
      </c>
      <c r="C110" t="s">
        <v>444</v>
      </c>
      <c r="D110" t="s">
        <v>445</v>
      </c>
      <c r="E110" t="s">
        <v>446</v>
      </c>
      <c r="F110" t="s">
        <v>66</v>
      </c>
      <c r="G110" t="s">
        <v>447</v>
      </c>
    </row>
    <row r="111" spans="1:7" x14ac:dyDescent="0.25">
      <c r="A111">
        <v>248</v>
      </c>
      <c r="B111">
        <v>19972</v>
      </c>
      <c r="C111" t="s">
        <v>448</v>
      </c>
      <c r="D111" t="s">
        <v>449</v>
      </c>
      <c r="E111" t="s">
        <v>450</v>
      </c>
      <c r="F111" t="s">
        <v>71</v>
      </c>
      <c r="G111" t="s">
        <v>451</v>
      </c>
    </row>
    <row r="112" spans="1:7" x14ac:dyDescent="0.25">
      <c r="A112">
        <v>248</v>
      </c>
      <c r="B112">
        <v>19973</v>
      </c>
      <c r="C112" t="s">
        <v>452</v>
      </c>
      <c r="D112" t="s">
        <v>453</v>
      </c>
      <c r="E112" t="s">
        <v>454</v>
      </c>
      <c r="F112" t="s">
        <v>76</v>
      </c>
      <c r="G112" t="s">
        <v>455</v>
      </c>
    </row>
    <row r="113" spans="1:7" x14ac:dyDescent="0.25">
      <c r="A113">
        <v>248</v>
      </c>
      <c r="B113">
        <v>19974</v>
      </c>
      <c r="C113" t="s">
        <v>456</v>
      </c>
      <c r="D113" t="s">
        <v>457</v>
      </c>
      <c r="E113" t="s">
        <v>458</v>
      </c>
      <c r="F113" t="s">
        <v>81</v>
      </c>
      <c r="G113" t="s">
        <v>459</v>
      </c>
    </row>
    <row r="114" spans="1:7" x14ac:dyDescent="0.25">
      <c r="A114">
        <v>248</v>
      </c>
      <c r="B114">
        <v>19981</v>
      </c>
      <c r="C114" t="s">
        <v>460</v>
      </c>
      <c r="D114" t="s">
        <v>461</v>
      </c>
      <c r="E114" t="s">
        <v>462</v>
      </c>
      <c r="F114" t="s">
        <v>86</v>
      </c>
      <c r="G114" t="s">
        <v>463</v>
      </c>
    </row>
    <row r="115" spans="1:7" x14ac:dyDescent="0.25">
      <c r="A115">
        <v>248</v>
      </c>
      <c r="B115">
        <v>19982</v>
      </c>
      <c r="C115" t="s">
        <v>464</v>
      </c>
      <c r="D115" t="s">
        <v>465</v>
      </c>
      <c r="E115" t="s">
        <v>466</v>
      </c>
      <c r="F115" t="s">
        <v>91</v>
      </c>
      <c r="G115" t="s">
        <v>467</v>
      </c>
    </row>
    <row r="116" spans="1:7" x14ac:dyDescent="0.25">
      <c r="A116">
        <v>248</v>
      </c>
      <c r="B116">
        <v>19983</v>
      </c>
      <c r="C116" t="s">
        <v>468</v>
      </c>
      <c r="D116" t="s">
        <v>469</v>
      </c>
      <c r="E116" t="s">
        <v>470</v>
      </c>
      <c r="F116" t="s">
        <v>96</v>
      </c>
      <c r="G116" t="s">
        <v>471</v>
      </c>
    </row>
    <row r="117" spans="1:7" x14ac:dyDescent="0.25">
      <c r="A117">
        <v>248</v>
      </c>
      <c r="B117">
        <v>19984</v>
      </c>
      <c r="C117" t="s">
        <v>472</v>
      </c>
      <c r="D117" t="s">
        <v>473</v>
      </c>
      <c r="E117" t="s">
        <v>474</v>
      </c>
      <c r="F117" t="s">
        <v>101</v>
      </c>
      <c r="G117" t="s">
        <v>475</v>
      </c>
    </row>
    <row r="118" spans="1:7" x14ac:dyDescent="0.25">
      <c r="A118">
        <v>248</v>
      </c>
      <c r="B118">
        <v>19991</v>
      </c>
      <c r="C118" t="s">
        <v>476</v>
      </c>
      <c r="D118" t="s">
        <v>477</v>
      </c>
      <c r="E118" t="s">
        <v>478</v>
      </c>
      <c r="F118" t="s">
        <v>106</v>
      </c>
      <c r="G118" t="s">
        <v>479</v>
      </c>
    </row>
    <row r="119" spans="1:7" x14ac:dyDescent="0.25">
      <c r="A119">
        <v>248</v>
      </c>
      <c r="B119">
        <v>19992</v>
      </c>
      <c r="C119" t="s">
        <v>480</v>
      </c>
      <c r="D119" t="s">
        <v>481</v>
      </c>
      <c r="E119" t="s">
        <v>482</v>
      </c>
      <c r="F119" t="s">
        <v>111</v>
      </c>
      <c r="G119" t="s">
        <v>483</v>
      </c>
    </row>
    <row r="120" spans="1:7" x14ac:dyDescent="0.25">
      <c r="A120">
        <v>248</v>
      </c>
      <c r="B120">
        <v>19993</v>
      </c>
      <c r="C120" t="s">
        <v>484</v>
      </c>
      <c r="D120" t="s">
        <v>485</v>
      </c>
      <c r="E120" t="s">
        <v>486</v>
      </c>
      <c r="F120" t="s">
        <v>116</v>
      </c>
      <c r="G120" t="s">
        <v>487</v>
      </c>
    </row>
    <row r="121" spans="1:7" x14ac:dyDescent="0.25">
      <c r="A121">
        <v>248</v>
      </c>
      <c r="B121">
        <v>19994</v>
      </c>
      <c r="C121" t="s">
        <v>488</v>
      </c>
      <c r="D121" t="s">
        <v>489</v>
      </c>
      <c r="E121" t="s">
        <v>490</v>
      </c>
      <c r="F121" t="s">
        <v>121</v>
      </c>
      <c r="G121" t="s">
        <v>491</v>
      </c>
    </row>
    <row r="122" spans="1:7" x14ac:dyDescent="0.25">
      <c r="A122">
        <v>248</v>
      </c>
      <c r="B122">
        <v>20001</v>
      </c>
      <c r="C122" t="s">
        <v>492</v>
      </c>
      <c r="D122" t="s">
        <v>493</v>
      </c>
      <c r="E122" t="s">
        <v>494</v>
      </c>
      <c r="F122" t="s">
        <v>126</v>
      </c>
      <c r="G122" t="s">
        <v>495</v>
      </c>
    </row>
    <row r="123" spans="1:7" x14ac:dyDescent="0.25">
      <c r="A123">
        <v>248</v>
      </c>
      <c r="B123">
        <v>20002</v>
      </c>
      <c r="C123" t="s">
        <v>496</v>
      </c>
      <c r="D123" t="s">
        <v>497</v>
      </c>
      <c r="E123" t="s">
        <v>498</v>
      </c>
      <c r="F123" t="s">
        <v>131</v>
      </c>
      <c r="G123" t="s">
        <v>499</v>
      </c>
    </row>
    <row r="124" spans="1:7" x14ac:dyDescent="0.25">
      <c r="A124">
        <v>248</v>
      </c>
      <c r="B124">
        <v>20003</v>
      </c>
      <c r="C124" t="s">
        <v>500</v>
      </c>
      <c r="D124" t="s">
        <v>501</v>
      </c>
      <c r="E124" t="s">
        <v>502</v>
      </c>
      <c r="F124" t="s">
        <v>136</v>
      </c>
      <c r="G124" t="s">
        <v>503</v>
      </c>
    </row>
    <row r="125" spans="1:7" x14ac:dyDescent="0.25">
      <c r="A125">
        <v>248</v>
      </c>
      <c r="B125">
        <v>20004</v>
      </c>
      <c r="C125" t="s">
        <v>504</v>
      </c>
      <c r="D125" t="s">
        <v>505</v>
      </c>
      <c r="E125" t="s">
        <v>506</v>
      </c>
      <c r="F125" t="s">
        <v>141</v>
      </c>
      <c r="G125" t="s">
        <v>507</v>
      </c>
    </row>
    <row r="126" spans="1:7" x14ac:dyDescent="0.25">
      <c r="A126">
        <v>248</v>
      </c>
      <c r="B126">
        <v>20011</v>
      </c>
      <c r="C126" t="s">
        <v>508</v>
      </c>
      <c r="D126" t="s">
        <v>509</v>
      </c>
      <c r="E126" t="s">
        <v>510</v>
      </c>
      <c r="F126" t="s">
        <v>146</v>
      </c>
      <c r="G126" t="s">
        <v>511</v>
      </c>
    </row>
    <row r="127" spans="1:7" x14ac:dyDescent="0.25">
      <c r="A127">
        <v>248</v>
      </c>
      <c r="B127">
        <v>20012</v>
      </c>
      <c r="C127" t="s">
        <v>512</v>
      </c>
      <c r="D127" t="s">
        <v>513</v>
      </c>
      <c r="E127" t="s">
        <v>514</v>
      </c>
      <c r="F127" t="s">
        <v>151</v>
      </c>
      <c r="G127" t="s">
        <v>515</v>
      </c>
    </row>
    <row r="128" spans="1:7" x14ac:dyDescent="0.25">
      <c r="A128">
        <v>248</v>
      </c>
      <c r="B128">
        <v>20013</v>
      </c>
      <c r="C128" t="s">
        <v>516</v>
      </c>
      <c r="D128" t="s">
        <v>517</v>
      </c>
      <c r="E128" t="s">
        <v>518</v>
      </c>
      <c r="F128" t="s">
        <v>156</v>
      </c>
      <c r="G128" t="s">
        <v>519</v>
      </c>
    </row>
    <row r="129" spans="1:7" x14ac:dyDescent="0.25">
      <c r="A129">
        <v>248</v>
      </c>
      <c r="B129">
        <v>20014</v>
      </c>
      <c r="C129" t="s">
        <v>520</v>
      </c>
      <c r="D129" t="s">
        <v>521</v>
      </c>
      <c r="E129" t="s">
        <v>522</v>
      </c>
      <c r="F129" t="s">
        <v>161</v>
      </c>
      <c r="G129" t="s">
        <v>523</v>
      </c>
    </row>
    <row r="130" spans="1:7" x14ac:dyDescent="0.25">
      <c r="A130">
        <v>273</v>
      </c>
      <c r="B130">
        <v>19941</v>
      </c>
      <c r="C130" t="s">
        <v>524</v>
      </c>
      <c r="D130" t="s">
        <v>525</v>
      </c>
      <c r="E130" t="s">
        <v>526</v>
      </c>
      <c r="F130" t="s">
        <v>10</v>
      </c>
      <c r="G130" t="s">
        <v>527</v>
      </c>
    </row>
    <row r="131" spans="1:7" x14ac:dyDescent="0.25">
      <c r="A131">
        <v>273</v>
      </c>
      <c r="B131">
        <v>19942</v>
      </c>
      <c r="C131" t="s">
        <v>528</v>
      </c>
      <c r="D131" t="s">
        <v>529</v>
      </c>
      <c r="E131" t="s">
        <v>530</v>
      </c>
      <c r="F131" t="s">
        <v>14</v>
      </c>
      <c r="G131" t="s">
        <v>531</v>
      </c>
    </row>
    <row r="132" spans="1:7" x14ac:dyDescent="0.25">
      <c r="A132">
        <v>273</v>
      </c>
      <c r="B132">
        <v>19943</v>
      </c>
      <c r="C132" t="s">
        <v>532</v>
      </c>
      <c r="D132" t="s">
        <v>533</v>
      </c>
      <c r="E132" t="s">
        <v>534</v>
      </c>
      <c r="F132" t="s">
        <v>18</v>
      </c>
      <c r="G132" t="s">
        <v>535</v>
      </c>
    </row>
    <row r="133" spans="1:7" x14ac:dyDescent="0.25">
      <c r="A133">
        <v>273</v>
      </c>
      <c r="B133">
        <v>19944</v>
      </c>
      <c r="C133" t="s">
        <v>536</v>
      </c>
      <c r="D133" t="s">
        <v>537</v>
      </c>
      <c r="E133" t="s">
        <v>538</v>
      </c>
      <c r="F133" t="s">
        <v>22</v>
      </c>
      <c r="G133" t="s">
        <v>539</v>
      </c>
    </row>
    <row r="134" spans="1:7" x14ac:dyDescent="0.25">
      <c r="A134">
        <v>273</v>
      </c>
      <c r="B134">
        <v>19951</v>
      </c>
      <c r="C134" t="s">
        <v>540</v>
      </c>
      <c r="D134" t="s">
        <v>541</v>
      </c>
      <c r="E134" t="s">
        <v>542</v>
      </c>
      <c r="F134" t="s">
        <v>26</v>
      </c>
      <c r="G134" t="s">
        <v>543</v>
      </c>
    </row>
    <row r="135" spans="1:7" x14ac:dyDescent="0.25">
      <c r="A135">
        <v>273</v>
      </c>
      <c r="B135">
        <v>19952</v>
      </c>
      <c r="C135" t="s">
        <v>544</v>
      </c>
      <c r="D135" t="s">
        <v>545</v>
      </c>
      <c r="E135" t="s">
        <v>546</v>
      </c>
      <c r="F135" t="s">
        <v>31</v>
      </c>
      <c r="G135" t="s">
        <v>547</v>
      </c>
    </row>
    <row r="136" spans="1:7" x14ac:dyDescent="0.25">
      <c r="A136">
        <v>273</v>
      </c>
      <c r="B136">
        <v>19953</v>
      </c>
      <c r="C136" t="s">
        <v>548</v>
      </c>
      <c r="D136" t="s">
        <v>549</v>
      </c>
      <c r="E136" t="s">
        <v>550</v>
      </c>
      <c r="F136" t="s">
        <v>36</v>
      </c>
      <c r="G136" t="s">
        <v>551</v>
      </c>
    </row>
    <row r="137" spans="1:7" x14ac:dyDescent="0.25">
      <c r="A137">
        <v>273</v>
      </c>
      <c r="B137">
        <v>19954</v>
      </c>
      <c r="C137" t="s">
        <v>552</v>
      </c>
      <c r="D137" t="s">
        <v>553</v>
      </c>
      <c r="E137" t="s">
        <v>554</v>
      </c>
      <c r="F137" t="s">
        <v>41</v>
      </c>
      <c r="G137" t="s">
        <v>555</v>
      </c>
    </row>
    <row r="138" spans="1:7" x14ac:dyDescent="0.25">
      <c r="A138">
        <v>273</v>
      </c>
      <c r="B138">
        <v>19961</v>
      </c>
      <c r="C138" t="s">
        <v>556</v>
      </c>
      <c r="D138" t="s">
        <v>557</v>
      </c>
      <c r="E138" t="s">
        <v>558</v>
      </c>
      <c r="F138" t="s">
        <v>46</v>
      </c>
      <c r="G138" t="s">
        <v>559</v>
      </c>
    </row>
    <row r="139" spans="1:7" x14ac:dyDescent="0.25">
      <c r="A139">
        <v>273</v>
      </c>
      <c r="B139">
        <v>19962</v>
      </c>
      <c r="C139" t="s">
        <v>560</v>
      </c>
      <c r="D139" t="s">
        <v>561</v>
      </c>
      <c r="E139" t="s">
        <v>562</v>
      </c>
      <c r="F139" t="s">
        <v>51</v>
      </c>
      <c r="G139" t="s">
        <v>563</v>
      </c>
    </row>
    <row r="140" spans="1:7" x14ac:dyDescent="0.25">
      <c r="A140">
        <v>273</v>
      </c>
      <c r="B140">
        <v>19963</v>
      </c>
      <c r="C140" t="s">
        <v>564</v>
      </c>
      <c r="D140" t="s">
        <v>565</v>
      </c>
      <c r="E140" t="s">
        <v>566</v>
      </c>
      <c r="F140" t="s">
        <v>56</v>
      </c>
      <c r="G140" t="s">
        <v>567</v>
      </c>
    </row>
    <row r="141" spans="1:7" x14ac:dyDescent="0.25">
      <c r="A141">
        <v>273</v>
      </c>
      <c r="B141">
        <v>19964</v>
      </c>
      <c r="C141" t="s">
        <v>568</v>
      </c>
      <c r="D141" t="s">
        <v>569</v>
      </c>
      <c r="E141" t="s">
        <v>570</v>
      </c>
      <c r="F141" t="s">
        <v>61</v>
      </c>
      <c r="G141" t="s">
        <v>571</v>
      </c>
    </row>
    <row r="142" spans="1:7" x14ac:dyDescent="0.25">
      <c r="A142">
        <v>273</v>
      </c>
      <c r="B142">
        <v>19971</v>
      </c>
      <c r="C142" t="s">
        <v>572</v>
      </c>
      <c r="D142" t="s">
        <v>573</v>
      </c>
      <c r="E142" t="s">
        <v>574</v>
      </c>
      <c r="F142" t="s">
        <v>66</v>
      </c>
      <c r="G142" t="s">
        <v>575</v>
      </c>
    </row>
    <row r="143" spans="1:7" x14ac:dyDescent="0.25">
      <c r="A143">
        <v>273</v>
      </c>
      <c r="B143">
        <v>19972</v>
      </c>
      <c r="C143" t="s">
        <v>576</v>
      </c>
      <c r="D143" t="s">
        <v>577</v>
      </c>
      <c r="E143" t="s">
        <v>578</v>
      </c>
      <c r="F143" t="s">
        <v>71</v>
      </c>
      <c r="G143" t="s">
        <v>579</v>
      </c>
    </row>
    <row r="144" spans="1:7" x14ac:dyDescent="0.25">
      <c r="A144">
        <v>273</v>
      </c>
      <c r="B144">
        <v>19973</v>
      </c>
      <c r="C144" t="s">
        <v>580</v>
      </c>
      <c r="D144" t="s">
        <v>581</v>
      </c>
      <c r="E144" t="s">
        <v>582</v>
      </c>
      <c r="F144" t="s">
        <v>76</v>
      </c>
      <c r="G144" t="s">
        <v>583</v>
      </c>
    </row>
    <row r="145" spans="1:7" x14ac:dyDescent="0.25">
      <c r="A145">
        <v>273</v>
      </c>
      <c r="B145">
        <v>19974</v>
      </c>
      <c r="C145" t="s">
        <v>584</v>
      </c>
      <c r="D145" t="s">
        <v>585</v>
      </c>
      <c r="E145" t="s">
        <v>586</v>
      </c>
      <c r="F145" t="s">
        <v>81</v>
      </c>
      <c r="G145" t="s">
        <v>587</v>
      </c>
    </row>
    <row r="146" spans="1:7" x14ac:dyDescent="0.25">
      <c r="A146">
        <v>273</v>
      </c>
      <c r="B146">
        <v>19981</v>
      </c>
      <c r="C146" t="s">
        <v>588</v>
      </c>
      <c r="D146" t="s">
        <v>589</v>
      </c>
      <c r="E146" t="s">
        <v>590</v>
      </c>
      <c r="F146" t="s">
        <v>86</v>
      </c>
      <c r="G146" t="s">
        <v>591</v>
      </c>
    </row>
    <row r="147" spans="1:7" x14ac:dyDescent="0.25">
      <c r="A147">
        <v>273</v>
      </c>
      <c r="B147">
        <v>19982</v>
      </c>
      <c r="C147" t="s">
        <v>592</v>
      </c>
      <c r="D147" t="s">
        <v>593</v>
      </c>
      <c r="E147" t="s">
        <v>594</v>
      </c>
      <c r="F147" t="s">
        <v>91</v>
      </c>
      <c r="G147" t="s">
        <v>595</v>
      </c>
    </row>
    <row r="148" spans="1:7" x14ac:dyDescent="0.25">
      <c r="A148">
        <v>273</v>
      </c>
      <c r="B148">
        <v>19983</v>
      </c>
      <c r="C148" t="s">
        <v>596</v>
      </c>
      <c r="D148" t="s">
        <v>597</v>
      </c>
      <c r="E148" t="s">
        <v>598</v>
      </c>
      <c r="F148" t="s">
        <v>96</v>
      </c>
      <c r="G148" t="s">
        <v>599</v>
      </c>
    </row>
    <row r="149" spans="1:7" x14ac:dyDescent="0.25">
      <c r="A149">
        <v>273</v>
      </c>
      <c r="B149">
        <v>19984</v>
      </c>
      <c r="C149" t="s">
        <v>600</v>
      </c>
      <c r="D149" t="s">
        <v>601</v>
      </c>
      <c r="E149" t="s">
        <v>602</v>
      </c>
      <c r="F149" t="s">
        <v>101</v>
      </c>
      <c r="G149" t="s">
        <v>603</v>
      </c>
    </row>
    <row r="150" spans="1:7" x14ac:dyDescent="0.25">
      <c r="A150">
        <v>273</v>
      </c>
      <c r="B150">
        <v>19991</v>
      </c>
      <c r="C150" t="s">
        <v>604</v>
      </c>
      <c r="D150" t="s">
        <v>605</v>
      </c>
      <c r="E150" t="s">
        <v>606</v>
      </c>
      <c r="F150" t="s">
        <v>106</v>
      </c>
      <c r="G150" t="s">
        <v>607</v>
      </c>
    </row>
    <row r="151" spans="1:7" x14ac:dyDescent="0.25">
      <c r="A151">
        <v>273</v>
      </c>
      <c r="B151">
        <v>19992</v>
      </c>
      <c r="C151" t="s">
        <v>608</v>
      </c>
      <c r="D151" t="s">
        <v>609</v>
      </c>
      <c r="E151" t="s">
        <v>610</v>
      </c>
      <c r="F151" t="s">
        <v>111</v>
      </c>
      <c r="G151" t="s">
        <v>611</v>
      </c>
    </row>
    <row r="152" spans="1:7" x14ac:dyDescent="0.25">
      <c r="A152">
        <v>273</v>
      </c>
      <c r="B152">
        <v>19993</v>
      </c>
      <c r="C152" t="s">
        <v>612</v>
      </c>
      <c r="D152" t="s">
        <v>613</v>
      </c>
      <c r="E152" t="s">
        <v>614</v>
      </c>
      <c r="F152" t="s">
        <v>116</v>
      </c>
      <c r="G152" t="s">
        <v>615</v>
      </c>
    </row>
    <row r="153" spans="1:7" x14ac:dyDescent="0.25">
      <c r="A153">
        <v>273</v>
      </c>
      <c r="B153">
        <v>19994</v>
      </c>
      <c r="C153" t="s">
        <v>616</v>
      </c>
      <c r="D153" t="s">
        <v>617</v>
      </c>
      <c r="E153" t="s">
        <v>618</v>
      </c>
      <c r="F153" t="s">
        <v>121</v>
      </c>
      <c r="G153" t="s">
        <v>619</v>
      </c>
    </row>
    <row r="154" spans="1:7" x14ac:dyDescent="0.25">
      <c r="A154">
        <v>273</v>
      </c>
      <c r="B154">
        <v>20001</v>
      </c>
      <c r="C154" t="s">
        <v>620</v>
      </c>
      <c r="D154" t="s">
        <v>621</v>
      </c>
      <c r="E154" t="s">
        <v>622</v>
      </c>
      <c r="F154" t="s">
        <v>126</v>
      </c>
      <c r="G154" t="s">
        <v>623</v>
      </c>
    </row>
    <row r="155" spans="1:7" x14ac:dyDescent="0.25">
      <c r="A155">
        <v>273</v>
      </c>
      <c r="B155">
        <v>20002</v>
      </c>
      <c r="C155" t="s">
        <v>624</v>
      </c>
      <c r="D155" t="s">
        <v>625</v>
      </c>
      <c r="E155" t="s">
        <v>626</v>
      </c>
      <c r="F155" t="s">
        <v>131</v>
      </c>
      <c r="G155" t="s">
        <v>627</v>
      </c>
    </row>
    <row r="156" spans="1:7" x14ac:dyDescent="0.25">
      <c r="A156">
        <v>273</v>
      </c>
      <c r="B156">
        <v>20003</v>
      </c>
      <c r="C156" t="s">
        <v>628</v>
      </c>
      <c r="D156" t="s">
        <v>629</v>
      </c>
      <c r="E156" t="s">
        <v>630</v>
      </c>
      <c r="F156" t="s">
        <v>136</v>
      </c>
      <c r="G156" t="s">
        <v>631</v>
      </c>
    </row>
    <row r="157" spans="1:7" x14ac:dyDescent="0.25">
      <c r="A157">
        <v>273</v>
      </c>
      <c r="B157">
        <v>20004</v>
      </c>
      <c r="C157" t="s">
        <v>632</v>
      </c>
      <c r="D157" t="s">
        <v>633</v>
      </c>
      <c r="E157" t="s">
        <v>634</v>
      </c>
      <c r="F157" t="s">
        <v>141</v>
      </c>
      <c r="G157" t="s">
        <v>635</v>
      </c>
    </row>
    <row r="158" spans="1:7" x14ac:dyDescent="0.25">
      <c r="A158">
        <v>273</v>
      </c>
      <c r="B158">
        <v>20011</v>
      </c>
      <c r="C158" t="s">
        <v>636</v>
      </c>
      <c r="D158" t="s">
        <v>637</v>
      </c>
      <c r="E158" t="s">
        <v>638</v>
      </c>
      <c r="F158" t="s">
        <v>146</v>
      </c>
      <c r="G158" t="s">
        <v>639</v>
      </c>
    </row>
    <row r="159" spans="1:7" x14ac:dyDescent="0.25">
      <c r="A159">
        <v>273</v>
      </c>
      <c r="B159">
        <v>20012</v>
      </c>
      <c r="C159" t="s">
        <v>640</v>
      </c>
      <c r="D159" t="s">
        <v>641</v>
      </c>
      <c r="E159" t="s">
        <v>642</v>
      </c>
      <c r="F159" t="s">
        <v>151</v>
      </c>
      <c r="G159" t="s">
        <v>643</v>
      </c>
    </row>
    <row r="160" spans="1:7" x14ac:dyDescent="0.25">
      <c r="A160">
        <v>273</v>
      </c>
      <c r="B160">
        <v>20013</v>
      </c>
      <c r="C160" t="s">
        <v>644</v>
      </c>
      <c r="D160" t="s">
        <v>645</v>
      </c>
      <c r="E160" t="s">
        <v>646</v>
      </c>
      <c r="F160" t="s">
        <v>156</v>
      </c>
      <c r="G160" t="s">
        <v>647</v>
      </c>
    </row>
    <row r="161" spans="1:7" x14ac:dyDescent="0.25">
      <c r="A161">
        <v>273</v>
      </c>
      <c r="B161">
        <v>20014</v>
      </c>
      <c r="C161" t="s">
        <v>648</v>
      </c>
      <c r="D161" t="s">
        <v>649</v>
      </c>
      <c r="E161" t="s">
        <v>650</v>
      </c>
      <c r="F161" t="s">
        <v>161</v>
      </c>
      <c r="G161" t="s">
        <v>651</v>
      </c>
    </row>
    <row r="162" spans="1:7" x14ac:dyDescent="0.25">
      <c r="A162">
        <v>293</v>
      </c>
      <c r="B162">
        <v>19941</v>
      </c>
      <c r="C162" t="s">
        <v>652</v>
      </c>
      <c r="D162" t="s">
        <v>653</v>
      </c>
      <c r="E162" t="s">
        <v>654</v>
      </c>
      <c r="F162" t="s">
        <v>10</v>
      </c>
    </row>
    <row r="163" spans="1:7" x14ac:dyDescent="0.25">
      <c r="A163">
        <v>293</v>
      </c>
      <c r="B163">
        <v>19942</v>
      </c>
      <c r="C163" t="s">
        <v>655</v>
      </c>
      <c r="D163" t="s">
        <v>656</v>
      </c>
      <c r="E163" t="s">
        <v>657</v>
      </c>
      <c r="F163" t="s">
        <v>14</v>
      </c>
    </row>
    <row r="164" spans="1:7" x14ac:dyDescent="0.25">
      <c r="A164">
        <v>293</v>
      </c>
      <c r="B164">
        <v>19943</v>
      </c>
      <c r="C164" t="s">
        <v>658</v>
      </c>
      <c r="D164" t="s">
        <v>659</v>
      </c>
      <c r="E164" t="s">
        <v>660</v>
      </c>
      <c r="F164" t="s">
        <v>18</v>
      </c>
    </row>
    <row r="165" spans="1:7" x14ac:dyDescent="0.25">
      <c r="A165">
        <v>293</v>
      </c>
      <c r="B165">
        <v>19944</v>
      </c>
      <c r="C165" t="s">
        <v>661</v>
      </c>
      <c r="D165" t="s">
        <v>662</v>
      </c>
      <c r="E165" t="s">
        <v>663</v>
      </c>
      <c r="F165" t="s">
        <v>22</v>
      </c>
    </row>
    <row r="166" spans="1:7" x14ac:dyDescent="0.25">
      <c r="A166">
        <v>293</v>
      </c>
      <c r="B166">
        <v>19951</v>
      </c>
      <c r="C166" t="s">
        <v>664</v>
      </c>
      <c r="D166" t="s">
        <v>665</v>
      </c>
      <c r="E166" t="s">
        <v>666</v>
      </c>
      <c r="F166" t="s">
        <v>26</v>
      </c>
    </row>
    <row r="167" spans="1:7" x14ac:dyDescent="0.25">
      <c r="A167">
        <v>293</v>
      </c>
      <c r="B167">
        <v>19952</v>
      </c>
      <c r="C167" t="s">
        <v>667</v>
      </c>
      <c r="D167" t="s">
        <v>668</v>
      </c>
      <c r="E167" t="s">
        <v>669</v>
      </c>
      <c r="F167" t="s">
        <v>31</v>
      </c>
    </row>
    <row r="168" spans="1:7" x14ac:dyDescent="0.25">
      <c r="A168">
        <v>293</v>
      </c>
      <c r="B168">
        <v>19953</v>
      </c>
      <c r="C168" t="s">
        <v>670</v>
      </c>
      <c r="D168" t="s">
        <v>671</v>
      </c>
      <c r="E168" t="s">
        <v>672</v>
      </c>
      <c r="F168" t="s">
        <v>36</v>
      </c>
    </row>
    <row r="169" spans="1:7" x14ac:dyDescent="0.25">
      <c r="A169">
        <v>293</v>
      </c>
      <c r="B169">
        <v>19954</v>
      </c>
      <c r="C169" t="s">
        <v>673</v>
      </c>
      <c r="D169" t="s">
        <v>674</v>
      </c>
      <c r="E169" t="s">
        <v>675</v>
      </c>
      <c r="F169" t="s">
        <v>41</v>
      </c>
    </row>
    <row r="170" spans="1:7" x14ac:dyDescent="0.25">
      <c r="A170">
        <v>293</v>
      </c>
      <c r="B170">
        <v>19961</v>
      </c>
      <c r="C170" t="s">
        <v>676</v>
      </c>
      <c r="D170" t="s">
        <v>677</v>
      </c>
      <c r="E170" t="s">
        <v>678</v>
      </c>
      <c r="F170" t="s">
        <v>46</v>
      </c>
    </row>
    <row r="171" spans="1:7" x14ac:dyDescent="0.25">
      <c r="A171">
        <v>293</v>
      </c>
      <c r="B171">
        <v>19962</v>
      </c>
      <c r="C171" t="s">
        <v>679</v>
      </c>
      <c r="D171" t="s">
        <v>680</v>
      </c>
      <c r="E171" t="s">
        <v>681</v>
      </c>
      <c r="F171" t="s">
        <v>51</v>
      </c>
    </row>
    <row r="172" spans="1:7" x14ac:dyDescent="0.25">
      <c r="A172">
        <v>293</v>
      </c>
      <c r="B172">
        <v>19963</v>
      </c>
      <c r="C172" t="s">
        <v>682</v>
      </c>
      <c r="D172" t="s">
        <v>683</v>
      </c>
      <c r="E172" t="s">
        <v>684</v>
      </c>
      <c r="F172" t="s">
        <v>56</v>
      </c>
    </row>
    <row r="173" spans="1:7" x14ac:dyDescent="0.25">
      <c r="A173">
        <v>293</v>
      </c>
      <c r="B173">
        <v>19964</v>
      </c>
      <c r="C173" t="s">
        <v>685</v>
      </c>
      <c r="D173" t="s">
        <v>686</v>
      </c>
      <c r="E173" t="s">
        <v>687</v>
      </c>
      <c r="F173" t="s">
        <v>61</v>
      </c>
    </row>
    <row r="174" spans="1:7" x14ac:dyDescent="0.25">
      <c r="A174">
        <v>293</v>
      </c>
      <c r="B174">
        <v>19971</v>
      </c>
      <c r="C174" t="s">
        <v>688</v>
      </c>
      <c r="D174" t="s">
        <v>689</v>
      </c>
      <c r="E174" t="s">
        <v>690</v>
      </c>
      <c r="F174" t="s">
        <v>66</v>
      </c>
    </row>
    <row r="175" spans="1:7" x14ac:dyDescent="0.25">
      <c r="A175">
        <v>293</v>
      </c>
      <c r="B175">
        <v>19972</v>
      </c>
      <c r="C175" t="s">
        <v>691</v>
      </c>
      <c r="D175" t="s">
        <v>692</v>
      </c>
      <c r="E175" t="s">
        <v>693</v>
      </c>
      <c r="F175" t="s">
        <v>71</v>
      </c>
      <c r="G175" t="s">
        <v>694</v>
      </c>
    </row>
    <row r="176" spans="1:7" x14ac:dyDescent="0.25">
      <c r="A176">
        <v>293</v>
      </c>
      <c r="B176">
        <v>19973</v>
      </c>
      <c r="C176" t="s">
        <v>695</v>
      </c>
      <c r="D176" t="s">
        <v>696</v>
      </c>
      <c r="E176" t="s">
        <v>697</v>
      </c>
      <c r="F176" t="s">
        <v>76</v>
      </c>
      <c r="G176" t="s">
        <v>698</v>
      </c>
    </row>
    <row r="177" spans="1:7" x14ac:dyDescent="0.25">
      <c r="A177">
        <v>293</v>
      </c>
      <c r="B177">
        <v>19974</v>
      </c>
      <c r="C177" t="s">
        <v>699</v>
      </c>
      <c r="D177" t="s">
        <v>700</v>
      </c>
      <c r="E177" t="s">
        <v>701</v>
      </c>
      <c r="F177" t="s">
        <v>81</v>
      </c>
      <c r="G177" t="s">
        <v>702</v>
      </c>
    </row>
    <row r="178" spans="1:7" x14ac:dyDescent="0.25">
      <c r="A178">
        <v>293</v>
      </c>
      <c r="B178">
        <v>19981</v>
      </c>
      <c r="C178" t="s">
        <v>703</v>
      </c>
      <c r="D178" t="s">
        <v>704</v>
      </c>
      <c r="E178" t="s">
        <v>705</v>
      </c>
      <c r="F178" t="s">
        <v>86</v>
      </c>
      <c r="G178" t="s">
        <v>706</v>
      </c>
    </row>
    <row r="179" spans="1:7" x14ac:dyDescent="0.25">
      <c r="A179">
        <v>293</v>
      </c>
      <c r="B179">
        <v>19982</v>
      </c>
      <c r="C179" t="s">
        <v>707</v>
      </c>
      <c r="D179" t="s">
        <v>708</v>
      </c>
      <c r="E179" t="s">
        <v>709</v>
      </c>
      <c r="F179" t="s">
        <v>91</v>
      </c>
      <c r="G179" t="s">
        <v>710</v>
      </c>
    </row>
    <row r="180" spans="1:7" x14ac:dyDescent="0.25">
      <c r="A180">
        <v>293</v>
      </c>
      <c r="B180">
        <v>19983</v>
      </c>
      <c r="C180" t="s">
        <v>711</v>
      </c>
      <c r="D180" t="s">
        <v>712</v>
      </c>
      <c r="E180" t="s">
        <v>713</v>
      </c>
      <c r="F180" t="s">
        <v>96</v>
      </c>
      <c r="G180" t="s">
        <v>714</v>
      </c>
    </row>
    <row r="181" spans="1:7" x14ac:dyDescent="0.25">
      <c r="A181">
        <v>293</v>
      </c>
      <c r="B181">
        <v>19984</v>
      </c>
      <c r="C181" t="s">
        <v>715</v>
      </c>
      <c r="D181" t="s">
        <v>716</v>
      </c>
      <c r="E181" t="s">
        <v>717</v>
      </c>
      <c r="F181" t="s">
        <v>101</v>
      </c>
      <c r="G181" t="s">
        <v>718</v>
      </c>
    </row>
    <row r="182" spans="1:7" x14ac:dyDescent="0.25">
      <c r="A182">
        <v>293</v>
      </c>
      <c r="B182">
        <v>19991</v>
      </c>
      <c r="C182" t="s">
        <v>719</v>
      </c>
      <c r="D182" t="s">
        <v>720</v>
      </c>
      <c r="E182" t="s">
        <v>721</v>
      </c>
      <c r="F182" t="s">
        <v>106</v>
      </c>
      <c r="G182" t="s">
        <v>722</v>
      </c>
    </row>
    <row r="183" spans="1:7" x14ac:dyDescent="0.25">
      <c r="A183">
        <v>293</v>
      </c>
      <c r="B183">
        <v>19992</v>
      </c>
      <c r="C183" t="s">
        <v>723</v>
      </c>
      <c r="D183" t="s">
        <v>724</v>
      </c>
      <c r="E183" t="s">
        <v>725</v>
      </c>
      <c r="F183" t="s">
        <v>111</v>
      </c>
      <c r="G183" t="s">
        <v>726</v>
      </c>
    </row>
    <row r="184" spans="1:7" x14ac:dyDescent="0.25">
      <c r="A184">
        <v>293</v>
      </c>
      <c r="B184">
        <v>19993</v>
      </c>
      <c r="C184" t="s">
        <v>727</v>
      </c>
      <c r="D184" t="s">
        <v>728</v>
      </c>
      <c r="E184" t="s">
        <v>729</v>
      </c>
      <c r="F184" t="s">
        <v>116</v>
      </c>
      <c r="G184" t="s">
        <v>730</v>
      </c>
    </row>
    <row r="185" spans="1:7" x14ac:dyDescent="0.25">
      <c r="A185">
        <v>293</v>
      </c>
      <c r="B185">
        <v>19994</v>
      </c>
      <c r="C185" t="s">
        <v>731</v>
      </c>
      <c r="D185" t="s">
        <v>732</v>
      </c>
      <c r="E185" t="s">
        <v>733</v>
      </c>
      <c r="F185" t="s">
        <v>121</v>
      </c>
      <c r="G185" t="s">
        <v>734</v>
      </c>
    </row>
    <row r="186" spans="1:7" x14ac:dyDescent="0.25">
      <c r="A186">
        <v>293</v>
      </c>
      <c r="B186">
        <v>20001</v>
      </c>
      <c r="C186" t="s">
        <v>735</v>
      </c>
      <c r="D186" t="s">
        <v>736</v>
      </c>
      <c r="E186" t="s">
        <v>737</v>
      </c>
      <c r="F186" t="s">
        <v>126</v>
      </c>
      <c r="G186" t="s">
        <v>738</v>
      </c>
    </row>
    <row r="187" spans="1:7" x14ac:dyDescent="0.25">
      <c r="A187">
        <v>293</v>
      </c>
      <c r="B187">
        <v>20002</v>
      </c>
      <c r="C187" t="s">
        <v>739</v>
      </c>
      <c r="D187" t="s">
        <v>740</v>
      </c>
      <c r="E187" t="s">
        <v>741</v>
      </c>
      <c r="F187" t="s">
        <v>131</v>
      </c>
      <c r="G187" t="s">
        <v>742</v>
      </c>
    </row>
    <row r="188" spans="1:7" x14ac:dyDescent="0.25">
      <c r="A188">
        <v>293</v>
      </c>
      <c r="B188">
        <v>20003</v>
      </c>
      <c r="C188" t="s">
        <v>743</v>
      </c>
      <c r="D188" t="s">
        <v>744</v>
      </c>
      <c r="E188" t="s">
        <v>745</v>
      </c>
      <c r="F188" t="s">
        <v>136</v>
      </c>
      <c r="G188" t="s">
        <v>746</v>
      </c>
    </row>
    <row r="189" spans="1:7" x14ac:dyDescent="0.25">
      <c r="A189">
        <v>293</v>
      </c>
      <c r="B189">
        <v>20004</v>
      </c>
      <c r="C189" t="s">
        <v>747</v>
      </c>
      <c r="D189" t="s">
        <v>748</v>
      </c>
      <c r="E189" t="s">
        <v>749</v>
      </c>
      <c r="F189" t="s">
        <v>141</v>
      </c>
      <c r="G189" t="s">
        <v>750</v>
      </c>
    </row>
    <row r="190" spans="1:7" x14ac:dyDescent="0.25">
      <c r="A190">
        <v>293</v>
      </c>
      <c r="B190">
        <v>20011</v>
      </c>
      <c r="C190" t="s">
        <v>751</v>
      </c>
      <c r="D190" t="s">
        <v>752</v>
      </c>
      <c r="E190" t="s">
        <v>753</v>
      </c>
      <c r="F190" t="s">
        <v>146</v>
      </c>
      <c r="G190" t="s">
        <v>754</v>
      </c>
    </row>
    <row r="191" spans="1:7" x14ac:dyDescent="0.25">
      <c r="A191">
        <v>293</v>
      </c>
      <c r="B191">
        <v>20012</v>
      </c>
      <c r="C191" t="s">
        <v>755</v>
      </c>
      <c r="D191" t="s">
        <v>756</v>
      </c>
      <c r="E191" t="s">
        <v>757</v>
      </c>
      <c r="F191" t="s">
        <v>151</v>
      </c>
      <c r="G191" t="s">
        <v>758</v>
      </c>
    </row>
    <row r="192" spans="1:7" x14ac:dyDescent="0.25">
      <c r="A192">
        <v>293</v>
      </c>
      <c r="B192">
        <v>20013</v>
      </c>
      <c r="C192" t="s">
        <v>759</v>
      </c>
      <c r="D192" t="s">
        <v>760</v>
      </c>
      <c r="E192" t="s">
        <v>761</v>
      </c>
      <c r="F192" t="s">
        <v>156</v>
      </c>
      <c r="G192" t="s">
        <v>762</v>
      </c>
    </row>
    <row r="193" spans="1:7" x14ac:dyDescent="0.25">
      <c r="A193">
        <v>293</v>
      </c>
      <c r="B193">
        <v>20014</v>
      </c>
      <c r="C193" t="s">
        <v>763</v>
      </c>
      <c r="D193" t="s">
        <v>764</v>
      </c>
      <c r="E193" t="s">
        <v>765</v>
      </c>
      <c r="F193" t="s">
        <v>161</v>
      </c>
      <c r="G193" t="s">
        <v>766</v>
      </c>
    </row>
    <row r="194" spans="1:7" x14ac:dyDescent="0.25">
      <c r="A194">
        <v>299</v>
      </c>
      <c r="B194">
        <v>19941</v>
      </c>
      <c r="C194" t="s">
        <v>767</v>
      </c>
      <c r="F194" t="s">
        <v>10</v>
      </c>
      <c r="G194" t="s">
        <v>768</v>
      </c>
    </row>
    <row r="195" spans="1:7" x14ac:dyDescent="0.25">
      <c r="A195">
        <v>299</v>
      </c>
      <c r="B195">
        <v>19942</v>
      </c>
      <c r="C195" t="s">
        <v>769</v>
      </c>
      <c r="F195" t="s">
        <v>14</v>
      </c>
      <c r="G195" t="s">
        <v>770</v>
      </c>
    </row>
    <row r="196" spans="1:7" x14ac:dyDescent="0.25">
      <c r="A196">
        <v>299</v>
      </c>
      <c r="B196">
        <v>19943</v>
      </c>
      <c r="C196" t="s">
        <v>771</v>
      </c>
      <c r="F196" t="s">
        <v>18</v>
      </c>
      <c r="G196" t="s">
        <v>772</v>
      </c>
    </row>
    <row r="197" spans="1:7" x14ac:dyDescent="0.25">
      <c r="A197">
        <v>299</v>
      </c>
      <c r="B197">
        <v>19944</v>
      </c>
      <c r="C197" t="s">
        <v>773</v>
      </c>
      <c r="F197" t="s">
        <v>22</v>
      </c>
      <c r="G197" t="s">
        <v>774</v>
      </c>
    </row>
    <row r="198" spans="1:7" x14ac:dyDescent="0.25">
      <c r="A198">
        <v>299</v>
      </c>
      <c r="B198">
        <v>19951</v>
      </c>
      <c r="C198" t="s">
        <v>775</v>
      </c>
      <c r="F198" t="s">
        <v>26</v>
      </c>
      <c r="G198" t="s">
        <v>776</v>
      </c>
    </row>
    <row r="199" spans="1:7" x14ac:dyDescent="0.25">
      <c r="A199">
        <v>299</v>
      </c>
      <c r="B199">
        <v>19952</v>
      </c>
      <c r="C199" t="s">
        <v>777</v>
      </c>
      <c r="F199" t="s">
        <v>31</v>
      </c>
      <c r="G199" t="s">
        <v>778</v>
      </c>
    </row>
    <row r="200" spans="1:7" x14ac:dyDescent="0.25">
      <c r="A200">
        <v>299</v>
      </c>
      <c r="B200">
        <v>19953</v>
      </c>
      <c r="C200" t="s">
        <v>779</v>
      </c>
      <c r="F200" t="s">
        <v>36</v>
      </c>
      <c r="G200" t="s">
        <v>780</v>
      </c>
    </row>
    <row r="201" spans="1:7" x14ac:dyDescent="0.25">
      <c r="A201">
        <v>299</v>
      </c>
      <c r="B201">
        <v>19954</v>
      </c>
      <c r="C201" t="s">
        <v>781</v>
      </c>
      <c r="F201" t="s">
        <v>41</v>
      </c>
      <c r="G201" t="s">
        <v>782</v>
      </c>
    </row>
    <row r="202" spans="1:7" x14ac:dyDescent="0.25">
      <c r="A202">
        <v>299</v>
      </c>
      <c r="B202">
        <v>19961</v>
      </c>
      <c r="C202" t="s">
        <v>783</v>
      </c>
      <c r="F202" t="s">
        <v>46</v>
      </c>
      <c r="G202" t="s">
        <v>784</v>
      </c>
    </row>
    <row r="203" spans="1:7" x14ac:dyDescent="0.25">
      <c r="A203">
        <v>299</v>
      </c>
      <c r="B203">
        <v>19962</v>
      </c>
      <c r="C203" t="s">
        <v>785</v>
      </c>
      <c r="F203" t="s">
        <v>51</v>
      </c>
      <c r="G203" t="s">
        <v>786</v>
      </c>
    </row>
    <row r="204" spans="1:7" x14ac:dyDescent="0.25">
      <c r="A204">
        <v>299</v>
      </c>
      <c r="B204">
        <v>19963</v>
      </c>
      <c r="C204" t="s">
        <v>787</v>
      </c>
      <c r="F204" t="s">
        <v>56</v>
      </c>
      <c r="G204" t="s">
        <v>788</v>
      </c>
    </row>
    <row r="205" spans="1:7" x14ac:dyDescent="0.25">
      <c r="A205">
        <v>299</v>
      </c>
      <c r="B205">
        <v>19964</v>
      </c>
      <c r="C205" t="s">
        <v>789</v>
      </c>
      <c r="F205" t="s">
        <v>61</v>
      </c>
      <c r="G205" t="s">
        <v>790</v>
      </c>
    </row>
    <row r="206" spans="1:7" x14ac:dyDescent="0.25">
      <c r="A206">
        <v>299</v>
      </c>
      <c r="B206">
        <v>19971</v>
      </c>
      <c r="C206" t="s">
        <v>791</v>
      </c>
      <c r="F206" t="s">
        <v>66</v>
      </c>
      <c r="G206" t="s">
        <v>792</v>
      </c>
    </row>
    <row r="207" spans="1:7" x14ac:dyDescent="0.25">
      <c r="A207">
        <v>299</v>
      </c>
      <c r="B207">
        <v>19972</v>
      </c>
      <c r="C207" t="s">
        <v>793</v>
      </c>
      <c r="F207" t="s">
        <v>71</v>
      </c>
      <c r="G207" t="s">
        <v>794</v>
      </c>
    </row>
    <row r="208" spans="1:7" x14ac:dyDescent="0.25">
      <c r="A208">
        <v>299</v>
      </c>
      <c r="B208">
        <v>19973</v>
      </c>
      <c r="C208" t="s">
        <v>795</v>
      </c>
      <c r="F208" t="s">
        <v>76</v>
      </c>
      <c r="G208" t="s">
        <v>796</v>
      </c>
    </row>
    <row r="209" spans="1:7" x14ac:dyDescent="0.25">
      <c r="A209">
        <v>299</v>
      </c>
      <c r="B209">
        <v>19974</v>
      </c>
      <c r="C209" t="s">
        <v>797</v>
      </c>
      <c r="F209" t="s">
        <v>81</v>
      </c>
      <c r="G209" t="s">
        <v>798</v>
      </c>
    </row>
    <row r="210" spans="1:7" x14ac:dyDescent="0.25">
      <c r="A210">
        <v>299</v>
      </c>
      <c r="B210">
        <v>19981</v>
      </c>
      <c r="C210" t="s">
        <v>799</v>
      </c>
      <c r="F210" t="s">
        <v>86</v>
      </c>
      <c r="G210" t="s">
        <v>800</v>
      </c>
    </row>
    <row r="211" spans="1:7" x14ac:dyDescent="0.25">
      <c r="A211">
        <v>299</v>
      </c>
      <c r="B211">
        <v>19982</v>
      </c>
      <c r="C211" t="s">
        <v>801</v>
      </c>
      <c r="F211" t="s">
        <v>91</v>
      </c>
      <c r="G211" t="s">
        <v>802</v>
      </c>
    </row>
    <row r="212" spans="1:7" x14ac:dyDescent="0.25">
      <c r="A212">
        <v>299</v>
      </c>
      <c r="B212">
        <v>19983</v>
      </c>
      <c r="C212" t="s">
        <v>803</v>
      </c>
      <c r="F212" t="s">
        <v>96</v>
      </c>
      <c r="G212" t="s">
        <v>804</v>
      </c>
    </row>
    <row r="213" spans="1:7" x14ac:dyDescent="0.25">
      <c r="A213">
        <v>299</v>
      </c>
      <c r="B213">
        <v>19984</v>
      </c>
      <c r="C213" t="s">
        <v>805</v>
      </c>
      <c r="F213" t="s">
        <v>101</v>
      </c>
      <c r="G213" t="s">
        <v>806</v>
      </c>
    </row>
    <row r="214" spans="1:7" x14ac:dyDescent="0.25">
      <c r="A214">
        <v>299</v>
      </c>
      <c r="B214">
        <v>19991</v>
      </c>
      <c r="C214" t="s">
        <v>807</v>
      </c>
      <c r="F214" t="s">
        <v>106</v>
      </c>
      <c r="G214" t="s">
        <v>808</v>
      </c>
    </row>
    <row r="215" spans="1:7" x14ac:dyDescent="0.25">
      <c r="A215">
        <v>299</v>
      </c>
      <c r="B215">
        <v>19992</v>
      </c>
      <c r="C215" t="s">
        <v>809</v>
      </c>
      <c r="F215" t="s">
        <v>111</v>
      </c>
      <c r="G215" t="s">
        <v>810</v>
      </c>
    </row>
    <row r="216" spans="1:7" x14ac:dyDescent="0.25">
      <c r="A216">
        <v>299</v>
      </c>
      <c r="B216">
        <v>19993</v>
      </c>
      <c r="C216" t="s">
        <v>811</v>
      </c>
      <c r="F216" t="s">
        <v>116</v>
      </c>
      <c r="G216" t="s">
        <v>812</v>
      </c>
    </row>
    <row r="217" spans="1:7" x14ac:dyDescent="0.25">
      <c r="A217">
        <v>299</v>
      </c>
      <c r="B217">
        <v>19994</v>
      </c>
      <c r="C217" t="s">
        <v>813</v>
      </c>
      <c r="F217" t="s">
        <v>121</v>
      </c>
      <c r="G217" t="s">
        <v>814</v>
      </c>
    </row>
    <row r="218" spans="1:7" x14ac:dyDescent="0.25">
      <c r="A218">
        <v>299</v>
      </c>
      <c r="B218">
        <v>20001</v>
      </c>
      <c r="C218" t="s">
        <v>815</v>
      </c>
      <c r="F218" t="s">
        <v>126</v>
      </c>
      <c r="G218" t="s">
        <v>816</v>
      </c>
    </row>
    <row r="219" spans="1:7" x14ac:dyDescent="0.25">
      <c r="A219">
        <v>299</v>
      </c>
      <c r="B219">
        <v>20002</v>
      </c>
      <c r="C219" t="s">
        <v>817</v>
      </c>
      <c r="F219" t="s">
        <v>131</v>
      </c>
      <c r="G219" t="s">
        <v>818</v>
      </c>
    </row>
    <row r="220" spans="1:7" x14ac:dyDescent="0.25">
      <c r="A220">
        <v>299</v>
      </c>
      <c r="B220">
        <v>20003</v>
      </c>
      <c r="C220" t="s">
        <v>819</v>
      </c>
      <c r="F220" t="s">
        <v>136</v>
      </c>
      <c r="G220" t="s">
        <v>820</v>
      </c>
    </row>
    <row r="221" spans="1:7" x14ac:dyDescent="0.25">
      <c r="A221">
        <v>299</v>
      </c>
      <c r="B221">
        <v>20004</v>
      </c>
      <c r="C221" t="s">
        <v>821</v>
      </c>
      <c r="F221" t="s">
        <v>141</v>
      </c>
      <c r="G221" t="s">
        <v>822</v>
      </c>
    </row>
    <row r="222" spans="1:7" x14ac:dyDescent="0.25">
      <c r="A222">
        <v>299</v>
      </c>
      <c r="B222">
        <v>20011</v>
      </c>
      <c r="C222" t="s">
        <v>823</v>
      </c>
      <c r="F222" t="s">
        <v>146</v>
      </c>
      <c r="G222" t="s">
        <v>824</v>
      </c>
    </row>
    <row r="223" spans="1:7" x14ac:dyDescent="0.25">
      <c r="A223">
        <v>299</v>
      </c>
      <c r="B223">
        <v>20012</v>
      </c>
      <c r="C223" t="s">
        <v>825</v>
      </c>
      <c r="F223" t="s">
        <v>151</v>
      </c>
      <c r="G223" t="s">
        <v>826</v>
      </c>
    </row>
    <row r="224" spans="1:7" x14ac:dyDescent="0.25">
      <c r="A224">
        <v>299</v>
      </c>
      <c r="B224">
        <v>20013</v>
      </c>
      <c r="C224" t="s">
        <v>381</v>
      </c>
      <c r="F224" t="s">
        <v>156</v>
      </c>
      <c r="G224" t="s">
        <v>827</v>
      </c>
    </row>
    <row r="225" spans="1:7" x14ac:dyDescent="0.25">
      <c r="A225">
        <v>299</v>
      </c>
      <c r="B225">
        <v>20014</v>
      </c>
      <c r="C225" t="s">
        <v>828</v>
      </c>
      <c r="F225" t="s">
        <v>161</v>
      </c>
      <c r="G225" t="s">
        <v>829</v>
      </c>
    </row>
    <row r="226" spans="1:7" x14ac:dyDescent="0.25">
      <c r="A226">
        <v>566</v>
      </c>
      <c r="B226">
        <v>19941</v>
      </c>
      <c r="C226" t="s">
        <v>830</v>
      </c>
      <c r="D226" t="s">
        <v>831</v>
      </c>
      <c r="E226" t="s">
        <v>832</v>
      </c>
      <c r="F226" t="s">
        <v>10</v>
      </c>
    </row>
    <row r="227" spans="1:7" x14ac:dyDescent="0.25">
      <c r="A227">
        <v>566</v>
      </c>
      <c r="B227">
        <v>19942</v>
      </c>
      <c r="C227" t="s">
        <v>833</v>
      </c>
      <c r="D227" t="s">
        <v>834</v>
      </c>
      <c r="E227" t="s">
        <v>835</v>
      </c>
      <c r="F227" t="s">
        <v>14</v>
      </c>
    </row>
    <row r="228" spans="1:7" x14ac:dyDescent="0.25">
      <c r="A228">
        <v>566</v>
      </c>
      <c r="B228">
        <v>19943</v>
      </c>
      <c r="C228" t="s">
        <v>836</v>
      </c>
      <c r="D228" t="s">
        <v>837</v>
      </c>
      <c r="E228" t="s">
        <v>838</v>
      </c>
      <c r="F228" t="s">
        <v>18</v>
      </c>
    </row>
    <row r="229" spans="1:7" x14ac:dyDescent="0.25">
      <c r="A229">
        <v>566</v>
      </c>
      <c r="B229">
        <v>19944</v>
      </c>
      <c r="C229" t="s">
        <v>839</v>
      </c>
      <c r="D229" t="s">
        <v>840</v>
      </c>
      <c r="E229" t="s">
        <v>841</v>
      </c>
      <c r="F229" t="s">
        <v>22</v>
      </c>
    </row>
    <row r="230" spans="1:7" x14ac:dyDescent="0.25">
      <c r="A230">
        <v>566</v>
      </c>
      <c r="B230">
        <v>19951</v>
      </c>
      <c r="C230" t="s">
        <v>842</v>
      </c>
      <c r="D230" t="s">
        <v>843</v>
      </c>
      <c r="E230" t="s">
        <v>844</v>
      </c>
      <c r="F230" t="s">
        <v>26</v>
      </c>
    </row>
    <row r="231" spans="1:7" x14ac:dyDescent="0.25">
      <c r="A231">
        <v>566</v>
      </c>
      <c r="B231">
        <v>19952</v>
      </c>
      <c r="C231" t="s">
        <v>845</v>
      </c>
      <c r="D231" t="s">
        <v>846</v>
      </c>
      <c r="E231" t="s">
        <v>847</v>
      </c>
      <c r="F231" t="s">
        <v>31</v>
      </c>
    </row>
    <row r="232" spans="1:7" x14ac:dyDescent="0.25">
      <c r="A232">
        <v>566</v>
      </c>
      <c r="B232">
        <v>19953</v>
      </c>
      <c r="C232" t="s">
        <v>848</v>
      </c>
      <c r="D232" t="s">
        <v>849</v>
      </c>
      <c r="E232" t="s">
        <v>850</v>
      </c>
      <c r="F232" t="s">
        <v>36</v>
      </c>
    </row>
    <row r="233" spans="1:7" x14ac:dyDescent="0.25">
      <c r="A233">
        <v>566</v>
      </c>
      <c r="B233">
        <v>19954</v>
      </c>
      <c r="C233" t="s">
        <v>851</v>
      </c>
      <c r="D233" t="s">
        <v>852</v>
      </c>
      <c r="E233" t="s">
        <v>853</v>
      </c>
      <c r="F233" t="s">
        <v>41</v>
      </c>
    </row>
    <row r="234" spans="1:7" x14ac:dyDescent="0.25">
      <c r="A234">
        <v>566</v>
      </c>
      <c r="B234">
        <v>19961</v>
      </c>
      <c r="C234" t="s">
        <v>854</v>
      </c>
      <c r="D234" t="s">
        <v>855</v>
      </c>
      <c r="E234" t="s">
        <v>856</v>
      </c>
      <c r="F234" t="s">
        <v>46</v>
      </c>
    </row>
    <row r="235" spans="1:7" x14ac:dyDescent="0.25">
      <c r="A235">
        <v>566</v>
      </c>
      <c r="B235">
        <v>19962</v>
      </c>
      <c r="C235" t="s">
        <v>857</v>
      </c>
      <c r="D235" t="s">
        <v>858</v>
      </c>
      <c r="E235" t="s">
        <v>859</v>
      </c>
      <c r="F235" t="s">
        <v>51</v>
      </c>
    </row>
    <row r="236" spans="1:7" x14ac:dyDescent="0.25">
      <c r="A236">
        <v>566</v>
      </c>
      <c r="B236">
        <v>19963</v>
      </c>
      <c r="C236" t="s">
        <v>860</v>
      </c>
      <c r="D236" t="s">
        <v>861</v>
      </c>
      <c r="E236" t="s">
        <v>862</v>
      </c>
      <c r="F236" t="s">
        <v>56</v>
      </c>
    </row>
    <row r="237" spans="1:7" x14ac:dyDescent="0.25">
      <c r="A237">
        <v>566</v>
      </c>
      <c r="B237">
        <v>19964</v>
      </c>
      <c r="C237" t="s">
        <v>863</v>
      </c>
      <c r="D237" t="s">
        <v>864</v>
      </c>
      <c r="E237" t="s">
        <v>865</v>
      </c>
      <c r="F237" t="s">
        <v>61</v>
      </c>
    </row>
    <row r="238" spans="1:7" x14ac:dyDescent="0.25">
      <c r="A238">
        <v>566</v>
      </c>
      <c r="B238">
        <v>19971</v>
      </c>
      <c r="C238" t="s">
        <v>866</v>
      </c>
      <c r="D238" t="s">
        <v>867</v>
      </c>
      <c r="E238" t="s">
        <v>868</v>
      </c>
      <c r="F238" t="s">
        <v>66</v>
      </c>
    </row>
    <row r="239" spans="1:7" x14ac:dyDescent="0.25">
      <c r="A239">
        <v>566</v>
      </c>
      <c r="B239">
        <v>19972</v>
      </c>
      <c r="C239" t="s">
        <v>869</v>
      </c>
      <c r="D239" t="s">
        <v>870</v>
      </c>
      <c r="E239" t="s">
        <v>871</v>
      </c>
      <c r="F239" t="s">
        <v>71</v>
      </c>
    </row>
    <row r="240" spans="1:7" x14ac:dyDescent="0.25">
      <c r="A240">
        <v>566</v>
      </c>
      <c r="B240">
        <v>19973</v>
      </c>
      <c r="C240" t="s">
        <v>872</v>
      </c>
      <c r="D240" t="s">
        <v>873</v>
      </c>
      <c r="E240" t="s">
        <v>874</v>
      </c>
      <c r="F240" t="s">
        <v>76</v>
      </c>
    </row>
    <row r="241" spans="1:7" x14ac:dyDescent="0.25">
      <c r="A241">
        <v>566</v>
      </c>
      <c r="B241">
        <v>19974</v>
      </c>
      <c r="C241" t="s">
        <v>875</v>
      </c>
      <c r="D241" t="s">
        <v>876</v>
      </c>
      <c r="E241" t="s">
        <v>877</v>
      </c>
      <c r="F241" t="s">
        <v>81</v>
      </c>
    </row>
    <row r="242" spans="1:7" x14ac:dyDescent="0.25">
      <c r="A242">
        <v>566</v>
      </c>
      <c r="B242">
        <v>19981</v>
      </c>
      <c r="C242" t="s">
        <v>878</v>
      </c>
      <c r="D242" t="s">
        <v>879</v>
      </c>
      <c r="E242" t="s">
        <v>880</v>
      </c>
      <c r="F242" t="s">
        <v>86</v>
      </c>
    </row>
    <row r="243" spans="1:7" x14ac:dyDescent="0.25">
      <c r="A243">
        <v>566</v>
      </c>
      <c r="B243">
        <v>19982</v>
      </c>
      <c r="C243" t="s">
        <v>881</v>
      </c>
      <c r="D243" t="s">
        <v>882</v>
      </c>
      <c r="E243" t="s">
        <v>883</v>
      </c>
      <c r="F243" t="s">
        <v>91</v>
      </c>
    </row>
    <row r="244" spans="1:7" x14ac:dyDescent="0.25">
      <c r="A244">
        <v>566</v>
      </c>
      <c r="B244">
        <v>19983</v>
      </c>
      <c r="C244" t="s">
        <v>884</v>
      </c>
      <c r="D244" t="s">
        <v>885</v>
      </c>
      <c r="E244" t="s">
        <v>886</v>
      </c>
      <c r="F244" t="s">
        <v>96</v>
      </c>
    </row>
    <row r="245" spans="1:7" x14ac:dyDescent="0.25">
      <c r="A245">
        <v>566</v>
      </c>
      <c r="B245">
        <v>19984</v>
      </c>
      <c r="C245" t="s">
        <v>887</v>
      </c>
      <c r="D245" t="s">
        <v>888</v>
      </c>
      <c r="E245" t="s">
        <v>889</v>
      </c>
      <c r="F245" t="s">
        <v>101</v>
      </c>
    </row>
    <row r="246" spans="1:7" x14ac:dyDescent="0.25">
      <c r="A246">
        <v>566</v>
      </c>
      <c r="B246">
        <v>19991</v>
      </c>
      <c r="C246" t="s">
        <v>890</v>
      </c>
      <c r="D246" t="s">
        <v>891</v>
      </c>
      <c r="E246" t="s">
        <v>892</v>
      </c>
      <c r="F246" t="s">
        <v>106</v>
      </c>
    </row>
    <row r="247" spans="1:7" x14ac:dyDescent="0.25">
      <c r="A247">
        <v>566</v>
      </c>
      <c r="B247">
        <v>19992</v>
      </c>
      <c r="C247" t="s">
        <v>893</v>
      </c>
      <c r="D247" t="s">
        <v>894</v>
      </c>
      <c r="E247" t="s">
        <v>895</v>
      </c>
      <c r="F247" t="s">
        <v>111</v>
      </c>
    </row>
    <row r="248" spans="1:7" x14ac:dyDescent="0.25">
      <c r="A248">
        <v>566</v>
      </c>
      <c r="B248">
        <v>19993</v>
      </c>
      <c r="C248" t="s">
        <v>896</v>
      </c>
      <c r="D248" t="s">
        <v>897</v>
      </c>
      <c r="E248" t="s">
        <v>898</v>
      </c>
      <c r="F248" t="s">
        <v>116</v>
      </c>
      <c r="G248" t="s">
        <v>899</v>
      </c>
    </row>
    <row r="249" spans="1:7" x14ac:dyDescent="0.25">
      <c r="A249">
        <v>566</v>
      </c>
      <c r="B249">
        <v>19994</v>
      </c>
      <c r="C249" t="s">
        <v>900</v>
      </c>
      <c r="D249" t="s">
        <v>901</v>
      </c>
      <c r="E249" t="s">
        <v>902</v>
      </c>
      <c r="F249" t="s">
        <v>121</v>
      </c>
      <c r="G249" t="s">
        <v>903</v>
      </c>
    </row>
    <row r="250" spans="1:7" x14ac:dyDescent="0.25">
      <c r="A250">
        <v>566</v>
      </c>
      <c r="B250">
        <v>20001</v>
      </c>
      <c r="C250" t="s">
        <v>904</v>
      </c>
      <c r="D250" t="s">
        <v>905</v>
      </c>
      <c r="E250" t="s">
        <v>906</v>
      </c>
      <c r="F250" t="s">
        <v>126</v>
      </c>
      <c r="G250" t="s">
        <v>907</v>
      </c>
    </row>
    <row r="251" spans="1:7" x14ac:dyDescent="0.25">
      <c r="A251">
        <v>566</v>
      </c>
      <c r="B251">
        <v>20002</v>
      </c>
      <c r="C251" t="s">
        <v>908</v>
      </c>
      <c r="D251" t="s">
        <v>909</v>
      </c>
      <c r="E251" t="s">
        <v>910</v>
      </c>
      <c r="F251" t="s">
        <v>131</v>
      </c>
      <c r="G251" t="s">
        <v>911</v>
      </c>
    </row>
    <row r="252" spans="1:7" x14ac:dyDescent="0.25">
      <c r="A252">
        <v>566</v>
      </c>
      <c r="B252">
        <v>20003</v>
      </c>
      <c r="C252" t="s">
        <v>912</v>
      </c>
      <c r="D252" t="s">
        <v>913</v>
      </c>
      <c r="E252" t="s">
        <v>914</v>
      </c>
      <c r="F252" t="s">
        <v>136</v>
      </c>
      <c r="G252" t="s">
        <v>915</v>
      </c>
    </row>
    <row r="253" spans="1:7" x14ac:dyDescent="0.25">
      <c r="A253">
        <v>566</v>
      </c>
      <c r="B253">
        <v>20004</v>
      </c>
      <c r="C253" t="s">
        <v>916</v>
      </c>
      <c r="D253" t="s">
        <v>917</v>
      </c>
      <c r="E253" t="s">
        <v>918</v>
      </c>
      <c r="F253" t="s">
        <v>141</v>
      </c>
      <c r="G253" t="s">
        <v>919</v>
      </c>
    </row>
    <row r="254" spans="1:7" x14ac:dyDescent="0.25">
      <c r="A254">
        <v>566</v>
      </c>
      <c r="B254">
        <v>20011</v>
      </c>
      <c r="C254" t="s">
        <v>920</v>
      </c>
      <c r="D254" t="s">
        <v>921</v>
      </c>
      <c r="E254" t="s">
        <v>922</v>
      </c>
      <c r="F254" t="s">
        <v>146</v>
      </c>
      <c r="G254" t="s">
        <v>923</v>
      </c>
    </row>
    <row r="255" spans="1:7" x14ac:dyDescent="0.25">
      <c r="A255">
        <v>566</v>
      </c>
      <c r="B255">
        <v>20012</v>
      </c>
      <c r="C255" t="s">
        <v>924</v>
      </c>
      <c r="D255" t="s">
        <v>925</v>
      </c>
      <c r="E255" t="s">
        <v>926</v>
      </c>
      <c r="F255" t="s">
        <v>151</v>
      </c>
      <c r="G255" t="s">
        <v>927</v>
      </c>
    </row>
    <row r="256" spans="1:7" x14ac:dyDescent="0.25">
      <c r="A256">
        <v>566</v>
      </c>
      <c r="B256">
        <v>20013</v>
      </c>
      <c r="C256" t="s">
        <v>928</v>
      </c>
      <c r="D256" t="s">
        <v>929</v>
      </c>
      <c r="E256" t="s">
        <v>930</v>
      </c>
      <c r="F256" t="s">
        <v>156</v>
      </c>
      <c r="G256" t="s">
        <v>931</v>
      </c>
    </row>
    <row r="257" spans="1:7" x14ac:dyDescent="0.25">
      <c r="A257">
        <v>566</v>
      </c>
      <c r="B257">
        <v>20014</v>
      </c>
      <c r="C257" t="s">
        <v>932</v>
      </c>
      <c r="D257" t="s">
        <v>933</v>
      </c>
      <c r="E257" t="s">
        <v>934</v>
      </c>
      <c r="F257" t="s">
        <v>161</v>
      </c>
      <c r="G257" t="s">
        <v>935</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01A09-8E43-44FB-B679-60EBDC848666}">
  <dimension ref="A1:F130"/>
  <sheetViews>
    <sheetView workbookViewId="0">
      <selection activeCell="H14" sqref="H14"/>
    </sheetView>
  </sheetViews>
  <sheetFormatPr defaultRowHeight="15" x14ac:dyDescent="0.25"/>
  <sheetData>
    <row r="1" spans="1:6" x14ac:dyDescent="0.25">
      <c r="A1" t="s">
        <v>1</v>
      </c>
      <c r="B1" t="s">
        <v>2</v>
      </c>
      <c r="C1" t="s">
        <v>3</v>
      </c>
      <c r="D1" t="s">
        <v>4</v>
      </c>
      <c r="E1" t="s">
        <v>5</v>
      </c>
      <c r="F1" t="s">
        <v>6</v>
      </c>
    </row>
    <row r="2" spans="1:6" x14ac:dyDescent="0.25">
      <c r="A2">
        <v>19941</v>
      </c>
      <c r="E2">
        <f>logRus!G6</f>
        <v>1.3200218559034443E-2</v>
      </c>
      <c r="F2">
        <f>Brazil_interest!J2</f>
        <v>0.1302965172527841</v>
      </c>
    </row>
    <row r="3" spans="1:6" x14ac:dyDescent="0.25">
      <c r="A3">
        <v>19942</v>
      </c>
      <c r="E3">
        <f>logRus!G7</f>
        <v>2.0667611635574644E-2</v>
      </c>
      <c r="F3">
        <f>Brazil_interest!J3</f>
        <v>0.13688330000000001</v>
      </c>
    </row>
    <row r="4" spans="1:6" x14ac:dyDescent="0.25">
      <c r="A4">
        <v>19943</v>
      </c>
      <c r="E4">
        <f>logRus!G8</f>
        <v>2.5664051663820339E-2</v>
      </c>
      <c r="F4">
        <f>Brazil_interest!J4</f>
        <v>0.1019278</v>
      </c>
    </row>
    <row r="5" spans="1:6" x14ac:dyDescent="0.25">
      <c r="A5">
        <v>19944</v>
      </c>
      <c r="E5">
        <f>logRus!G9</f>
        <v>3.5286469924333548E-2</v>
      </c>
      <c r="F5">
        <f>Brazil_interest!J5</f>
        <v>0.1291245</v>
      </c>
    </row>
    <row r="6" spans="1:6" x14ac:dyDescent="0.25">
      <c r="A6">
        <v>19951</v>
      </c>
      <c r="E6">
        <f>logRus!G10</f>
        <v>3.6067621536369956E-2</v>
      </c>
      <c r="F6">
        <f>Brazil_interest!J6</f>
        <v>0.17417879999999999</v>
      </c>
    </row>
    <row r="7" spans="1:6" x14ac:dyDescent="0.25">
      <c r="A7">
        <v>19952</v>
      </c>
      <c r="E7">
        <f>logRus!G11</f>
        <v>3.353997047859382E-2</v>
      </c>
      <c r="F7">
        <f>Brazil_interest!J7</f>
        <v>0.140343</v>
      </c>
    </row>
    <row r="8" spans="1:6" x14ac:dyDescent="0.25">
      <c r="A8">
        <v>19953</v>
      </c>
      <c r="E8">
        <f>logRus!G12</f>
        <v>3.235500618176048E-2</v>
      </c>
      <c r="F8">
        <f>Brazil_interest!J8</f>
        <v>0.13083810000000001</v>
      </c>
    </row>
    <row r="9" spans="1:6" x14ac:dyDescent="0.25">
      <c r="A9">
        <v>19954</v>
      </c>
      <c r="E9">
        <f>logRus!G13</f>
        <v>3.1628383883764703E-2</v>
      </c>
      <c r="F9">
        <f>Brazil_interest!J9</f>
        <v>0.11931849999999999</v>
      </c>
    </row>
    <row r="10" spans="1:6" x14ac:dyDescent="0.25">
      <c r="A10">
        <v>19961</v>
      </c>
      <c r="B10">
        <f>PIB!G2</f>
        <v>-5.4735166461799878E-2</v>
      </c>
      <c r="C10">
        <f>INV!G2</f>
        <v>-5.1711440986014878E-2</v>
      </c>
      <c r="D10">
        <f>'balança comercial_bens'!E6</f>
        <v>3.8486535568896681E-3</v>
      </c>
      <c r="E10">
        <f>logRus!G14</f>
        <v>3.0429713759487879E-2</v>
      </c>
      <c r="F10">
        <f>Brazil_interest!J10</f>
        <v>0.1139008</v>
      </c>
    </row>
    <row r="11" spans="1:6" x14ac:dyDescent="0.25">
      <c r="A11">
        <v>19962</v>
      </c>
      <c r="B11">
        <f>PIB!G3</f>
        <v>-4.8373709430625134E-2</v>
      </c>
      <c r="C11">
        <f>INV!G3</f>
        <v>-3.7742761330489927E-2</v>
      </c>
      <c r="D11">
        <f>'balança comercial_bens'!E7</f>
        <v>-7.2933027059735285E-3</v>
      </c>
      <c r="E11">
        <f>logRus!G15</f>
        <v>3.2328428272089219E-2</v>
      </c>
      <c r="F11">
        <f>Brazil_interest!J11</f>
        <v>0.1050886</v>
      </c>
    </row>
    <row r="12" spans="1:6" x14ac:dyDescent="0.25">
      <c r="A12">
        <v>19963</v>
      </c>
      <c r="B12">
        <f>PIB!G4</f>
        <v>-1.7696820818793313E-2</v>
      </c>
      <c r="C12">
        <f>INV!G4</f>
        <v>-6.1021023773530914E-3</v>
      </c>
      <c r="D12">
        <f>'balança comercial_bens'!E8</f>
        <v>-9.713411743912187E-3</v>
      </c>
      <c r="E12">
        <f>logRus!G16</f>
        <v>3.4068247364319786E-2</v>
      </c>
      <c r="F12">
        <f>Brazil_interest!J12</f>
        <v>8.4835400000000005E-2</v>
      </c>
    </row>
    <row r="13" spans="1:6" x14ac:dyDescent="0.25">
      <c r="A13">
        <v>19964</v>
      </c>
      <c r="B13">
        <f>PIB!G5</f>
        <v>-3.2771175689443766E-2</v>
      </c>
      <c r="C13">
        <f>INV!G5</f>
        <v>3.0526729902928373E-2</v>
      </c>
      <c r="D13">
        <f>'balança comercial_bens'!E9</f>
        <v>-1.7304246539203594E-2</v>
      </c>
      <c r="E13">
        <f>logRus!G17</f>
        <v>3.164203494304195E-2</v>
      </c>
      <c r="F13">
        <f>Brazil_interest!J13</f>
        <v>8.3836599999999997E-2</v>
      </c>
    </row>
    <row r="14" spans="1:6" x14ac:dyDescent="0.25">
      <c r="A14">
        <v>19971</v>
      </c>
      <c r="B14">
        <f>PIB!G6</f>
        <v>-2.7623241836034929E-2</v>
      </c>
      <c r="C14">
        <f>INV!G6</f>
        <v>3.3762506022892325E-2</v>
      </c>
      <c r="D14">
        <f>'balança comercial_bens'!E10</f>
        <v>2.2336593413532328E-3</v>
      </c>
      <c r="E14">
        <f>logRus!G18</f>
        <v>3.2776733594188139E-2</v>
      </c>
      <c r="F14">
        <f>Brazil_interest!J14</f>
        <v>8.2451300000000005E-2</v>
      </c>
    </row>
    <row r="15" spans="1:6" x14ac:dyDescent="0.25">
      <c r="A15">
        <v>19972</v>
      </c>
      <c r="B15">
        <f>PIB!G7</f>
        <v>-2.8384859568082454E-2</v>
      </c>
      <c r="C15">
        <f>INV!G7</f>
        <v>4.2622256732866681E-2</v>
      </c>
      <c r="D15">
        <f>'balança comercial_bens'!E11</f>
        <v>-1.3911989900680474E-2</v>
      </c>
      <c r="E15">
        <f>logRus!G19</f>
        <v>3.2925560417302595E-2</v>
      </c>
      <c r="F15">
        <f>Brazil_interest!J15</f>
        <v>7.3363399999999995E-2</v>
      </c>
    </row>
    <row r="16" spans="1:6" x14ac:dyDescent="0.25">
      <c r="A16">
        <v>19973</v>
      </c>
      <c r="B16">
        <f>PIB!G8</f>
        <v>-2.1233383763708424E-2</v>
      </c>
      <c r="C16">
        <f>INV!G8</f>
        <v>5.6872329473010019E-2</v>
      </c>
      <c r="D16">
        <f>'balança comercial_bens'!E12</f>
        <v>-1.139005539905486E-2</v>
      </c>
      <c r="E16">
        <f>logRus!G20</f>
        <v>3.1932465983198412E-2</v>
      </c>
      <c r="F16">
        <f>Brazil_interest!J16</f>
        <v>7.0102300000000006E-2</v>
      </c>
    </row>
    <row r="17" spans="1:6" x14ac:dyDescent="0.25">
      <c r="A17">
        <v>19974</v>
      </c>
      <c r="B17">
        <f>PIB!G9</f>
        <v>-1.8431452882313515E-2</v>
      </c>
      <c r="C17">
        <f>INV!G9</f>
        <v>4.5136800927398468E-2</v>
      </c>
      <c r="D17">
        <f>'balança comercial_bens'!E13</f>
        <v>-1.1685763108098324E-2</v>
      </c>
      <c r="E17">
        <f>logRus!G21</f>
        <v>3.6029587955556698E-2</v>
      </c>
      <c r="F17">
        <f>Brazil_interest!J17</f>
        <v>8.6091699999999993E-2</v>
      </c>
    </row>
    <row r="18" spans="1:6" x14ac:dyDescent="0.25">
      <c r="A18">
        <v>19981</v>
      </c>
      <c r="B18">
        <f>PIB!G10</f>
        <v>-4.3951355974590101E-2</v>
      </c>
      <c r="C18">
        <f>INV!G10</f>
        <v>4.5389159139573643E-2</v>
      </c>
      <c r="D18">
        <f>'balança comercial_bens'!E14</f>
        <v>-2.9077691733204718E-3</v>
      </c>
      <c r="E18">
        <f>logRus!G22</f>
        <v>3.922420619048634E-2</v>
      </c>
      <c r="F18">
        <f>Brazil_interest!J18</f>
        <v>8.3291699999999996E-2</v>
      </c>
    </row>
    <row r="19" spans="1:6" x14ac:dyDescent="0.25">
      <c r="A19">
        <v>19982</v>
      </c>
      <c r="B19">
        <f>PIB!G11</f>
        <v>-3.2404692614384167E-2</v>
      </c>
      <c r="C19">
        <f>INV!G11</f>
        <v>4.3911651964696929E-2</v>
      </c>
      <c r="D19">
        <f>'balança comercial_bens'!E15</f>
        <v>-7.7125933330520141E-3</v>
      </c>
      <c r="E19">
        <f>logRus!G23</f>
        <v>3.8471198350548685E-2</v>
      </c>
      <c r="F19">
        <f>Brazil_interest!J19</f>
        <v>0.1073378</v>
      </c>
    </row>
    <row r="20" spans="1:6" x14ac:dyDescent="0.25">
      <c r="A20">
        <v>19983</v>
      </c>
      <c r="B20">
        <f>PIB!G12</f>
        <v>-3.8317207688345789E-2</v>
      </c>
      <c r="C20">
        <f>INV!G12</f>
        <v>2.5769351944567198E-2</v>
      </c>
      <c r="D20">
        <f>'balança comercial_bens'!E16</f>
        <v>-1.2213056572664546E-2</v>
      </c>
      <c r="E20">
        <f>logRus!G24</f>
        <v>3.4976429555677341E-2</v>
      </c>
      <c r="F20">
        <f>Brazil_interest!J20</f>
        <v>0.1681124</v>
      </c>
    </row>
    <row r="21" spans="1:6" x14ac:dyDescent="0.25">
      <c r="A21">
        <v>19984</v>
      </c>
      <c r="B21">
        <f>PIB!G13</f>
        <v>-5.5343181381936724E-2</v>
      </c>
      <c r="C21">
        <f>INV!G13</f>
        <v>-2.545009050175473E-2</v>
      </c>
      <c r="D21">
        <f>'balança comercial_bens'!E17</f>
        <v>-1.2502646469383023E-2</v>
      </c>
      <c r="E21">
        <f>logRus!G25</f>
        <v>3.31952652203856E-2</v>
      </c>
      <c r="F21">
        <f>Brazil_interest!J21</f>
        <v>0.14894560000000001</v>
      </c>
    </row>
    <row r="22" spans="1:6" x14ac:dyDescent="0.25">
      <c r="A22">
        <v>19991</v>
      </c>
      <c r="B22">
        <f>PIB!G14</f>
        <v>-5.9083473972935785E-2</v>
      </c>
      <c r="C22">
        <f>INV!G14</f>
        <v>-6.6897745217837645E-2</v>
      </c>
      <c r="D22">
        <f>'balança comercial_bens'!E18</f>
        <v>-2.5677652928011215E-4</v>
      </c>
      <c r="E22">
        <f>logRus!G26</f>
        <v>3.2052182446571272E-2</v>
      </c>
      <c r="F22">
        <f>Brazil_interest!J22</f>
        <v>0.13006880000000001</v>
      </c>
    </row>
    <row r="23" spans="1:6" x14ac:dyDescent="0.25">
      <c r="A23">
        <v>19992</v>
      </c>
      <c r="B23">
        <f>PIB!G15</f>
        <v>-5.9341519944986487E-2</v>
      </c>
      <c r="C23">
        <f>INV!G15</f>
        <v>-8.4350835176467243E-2</v>
      </c>
      <c r="D23">
        <f>'balança comercial_bens'!E19</f>
        <v>-7.160427710015487E-3</v>
      </c>
      <c r="E23">
        <f>logRus!G27</f>
        <v>3.2063058999885569E-2</v>
      </c>
      <c r="F23">
        <f>Brazil_interest!J23</f>
        <v>0.1304864</v>
      </c>
    </row>
    <row r="24" spans="1:6" x14ac:dyDescent="0.25">
      <c r="A24">
        <v>19993</v>
      </c>
      <c r="B24">
        <f>PIB!G16</f>
        <v>-6.4879608355396634E-2</v>
      </c>
      <c r="C24">
        <f>INV!G16</f>
        <v>-0.1131314276443165</v>
      </c>
      <c r="D24">
        <f>'balança comercial_bens'!E20</f>
        <v>-4.8268409959559755E-3</v>
      </c>
      <c r="E24">
        <f>logRus!G28</f>
        <v>3.3717187452836084E-2</v>
      </c>
      <c r="F24">
        <f>Brazil_interest!J24</f>
        <v>0.1345713</v>
      </c>
    </row>
    <row r="25" spans="1:6" x14ac:dyDescent="0.25">
      <c r="A25">
        <v>19994</v>
      </c>
      <c r="B25">
        <f>PIB!G17</f>
        <v>-5.6317832006832269E-2</v>
      </c>
      <c r="C25">
        <f>INV!G17</f>
        <v>-9.8263933367024769E-2</v>
      </c>
      <c r="D25">
        <f>'balança comercial_bens'!E21</f>
        <v>-1.7771244504503516E-3</v>
      </c>
      <c r="E25">
        <f>logRus!G29</f>
        <v>3.6137613292121236E-2</v>
      </c>
      <c r="F25">
        <f>Brazil_interest!J25</f>
        <v>9.9335900000000005E-2</v>
      </c>
    </row>
    <row r="26" spans="1:6" x14ac:dyDescent="0.25">
      <c r="A26">
        <v>20001</v>
      </c>
      <c r="B26">
        <f>PIB!G18</f>
        <v>-5.1432914097455651E-2</v>
      </c>
      <c r="C26">
        <f>INV!G18</f>
        <v>-9.623787118023408E-2</v>
      </c>
      <c r="D26">
        <f>'balança comercial_bens'!E22</f>
        <v>6.0456256961160439E-3</v>
      </c>
      <c r="E26">
        <f>logRus!G30</f>
        <v>3.7475364033453563E-2</v>
      </c>
      <c r="F26">
        <f>Brazil_interest!J26</f>
        <v>0.1111949</v>
      </c>
    </row>
    <row r="27" spans="1:6" x14ac:dyDescent="0.25">
      <c r="A27">
        <v>20002</v>
      </c>
      <c r="B27">
        <f>PIB!G19</f>
        <v>-4.2848404339953738E-2</v>
      </c>
      <c r="C27">
        <f>INV!G19</f>
        <v>-6.1540089368948614E-2</v>
      </c>
      <c r="D27">
        <f>'balança comercial_bens'!E23</f>
        <v>-3.079798548067073E-3</v>
      </c>
      <c r="E27">
        <f>logRus!G31</f>
        <v>3.505460400017843E-2</v>
      </c>
      <c r="F27">
        <f>Brazil_interest!J27</f>
        <v>0.10798679999999999</v>
      </c>
    </row>
    <row r="28" spans="1:6" x14ac:dyDescent="0.25">
      <c r="A28">
        <v>20003</v>
      </c>
      <c r="B28">
        <f>PIB!G20</f>
        <v>-3.6693609033129349E-2</v>
      </c>
      <c r="C28">
        <f>INV!G20</f>
        <v>-6.650649585881574E-2</v>
      </c>
      <c r="D28">
        <f>'balança comercial_bens'!E24</f>
        <v>-4.7642970514866325E-3</v>
      </c>
      <c r="E28">
        <f>logRus!G32</f>
        <v>3.5768505900038203E-2</v>
      </c>
      <c r="F28">
        <f>Brazil_interest!J28</f>
        <v>0.1121441</v>
      </c>
    </row>
    <row r="29" spans="1:6" x14ac:dyDescent="0.25">
      <c r="A29">
        <v>20004</v>
      </c>
      <c r="B29">
        <f>PIB!G21</f>
        <v>-3.0055392714554152E-2</v>
      </c>
      <c r="C29">
        <f>INV!G21</f>
        <v>-3.6381619026805367E-2</v>
      </c>
      <c r="D29">
        <f>'balança comercial_bens'!E25</f>
        <v>-8.7100261110896644E-3</v>
      </c>
      <c r="E29">
        <f>logRus!G33</f>
        <v>3.3659557426400623E-2</v>
      </c>
      <c r="F29">
        <f>Brazil_interest!J29</f>
        <v>0.1126679</v>
      </c>
    </row>
    <row r="30" spans="1:6" x14ac:dyDescent="0.25">
      <c r="A30">
        <f>A26+10</f>
        <v>20011</v>
      </c>
      <c r="B30">
        <f>PIB!G22</f>
        <v>-3.197811631223324E-2</v>
      </c>
      <c r="C30">
        <f>INV!G22</f>
        <v>-2.4353999299848716E-2</v>
      </c>
      <c r="D30">
        <f>'balança comercial_bens'!E26</f>
        <v>3.7633381195433229E-4</v>
      </c>
      <c r="E30">
        <f>logRus!G34</f>
        <v>2.0403535744829553E-2</v>
      </c>
      <c r="F30">
        <f>Brazil_interest!J30</f>
        <v>0.10011009999999999</v>
      </c>
    </row>
    <row r="31" spans="1:6" x14ac:dyDescent="0.25">
      <c r="A31">
        <f>A30+1</f>
        <v>20012</v>
      </c>
      <c r="B31">
        <f>PIB!G23</f>
        <v>-4.2280639357302086E-2</v>
      </c>
      <c r="C31">
        <f>INV!G23</f>
        <v>-5.5494087351409149E-2</v>
      </c>
      <c r="D31">
        <f>'balança comercial_bens'!E27</f>
        <v>-4.2437698766299263E-3</v>
      </c>
      <c r="E31">
        <f>logRus!G35</f>
        <v>1.1286791338612887E-2</v>
      </c>
      <c r="F31">
        <f>Brazil_interest!J31</f>
        <v>0.1009832</v>
      </c>
    </row>
    <row r="32" spans="1:6" x14ac:dyDescent="0.25">
      <c r="A32">
        <f>A31+1</f>
        <v>20013</v>
      </c>
      <c r="B32">
        <f>PIB!G24</f>
        <v>-5.3139304298935208E-2</v>
      </c>
      <c r="C32">
        <f>INV!G24</f>
        <v>-7.489065051379562E-2</v>
      </c>
      <c r="D32">
        <f>'balança comercial_bens'!E28</f>
        <v>4.6303670417419413E-3</v>
      </c>
      <c r="E32">
        <f>logRus!G36</f>
        <v>4.6637517626065004E-3</v>
      </c>
      <c r="F32">
        <f>Brazil_interest!J32</f>
        <v>0.11117829999999999</v>
      </c>
    </row>
    <row r="33" spans="1:6" x14ac:dyDescent="0.25">
      <c r="A33">
        <f>A32+1</f>
        <v>20014</v>
      </c>
      <c r="B33">
        <f>PIB!G25</f>
        <v>-6.1437488838994803E-2</v>
      </c>
      <c r="C33">
        <f>INV!G25</f>
        <v>-0.13762284119731305</v>
      </c>
      <c r="D33">
        <f>'balança comercial_bens'!E29</f>
        <v>9.7659606619462415E-3</v>
      </c>
      <c r="E33">
        <f>logRus!G37</f>
        <v>-2.5796958212600347E-3</v>
      </c>
      <c r="F33">
        <f>Brazil_interest!J33</f>
        <v>8.4045089449445484E-2</v>
      </c>
    </row>
    <row r="34" spans="1:6" x14ac:dyDescent="0.25">
      <c r="A34">
        <f t="shared" ref="A34" si="0">A30+10</f>
        <v>20021</v>
      </c>
      <c r="B34">
        <f>PIB!G26</f>
        <v>-4.249174745608908E-2</v>
      </c>
      <c r="C34">
        <f>INV!G26</f>
        <v>-0.13076007661759093</v>
      </c>
      <c r="D34">
        <f>'balança comercial_bens'!E30</f>
        <v>1.3969593156867546E-2</v>
      </c>
      <c r="E34">
        <f>logRus!G38</f>
        <v>1.937465523063731E-3</v>
      </c>
      <c r="F34">
        <f>Brazil_interest!J34</f>
        <v>0.10399130594552425</v>
      </c>
    </row>
    <row r="35" spans="1:6" x14ac:dyDescent="0.25">
      <c r="A35">
        <f t="shared" ref="A35:A37" si="1">A34+1</f>
        <v>20022</v>
      </c>
      <c r="B35">
        <f>PIB!G27</f>
        <v>-4.5857150007678982E-2</v>
      </c>
      <c r="C35">
        <f>INV!G27</f>
        <v>-0.11288087747007225</v>
      </c>
      <c r="D35">
        <f>'balança comercial_bens'!E31</f>
        <v>3.2363348441000611E-3</v>
      </c>
      <c r="E35">
        <f>logRus!G39</f>
        <v>3.4667721517200349E-3</v>
      </c>
      <c r="F35">
        <f>Brazil_interest!J35</f>
        <v>0.18365742718386113</v>
      </c>
    </row>
    <row r="36" spans="1:6" x14ac:dyDescent="0.25">
      <c r="A36">
        <f t="shared" si="1"/>
        <v>20023</v>
      </c>
      <c r="B36">
        <f>PIB!G28</f>
        <v>-3.7515106962376699E-2</v>
      </c>
      <c r="C36">
        <f>INV!G28</f>
        <v>-0.10252671480811948</v>
      </c>
      <c r="D36">
        <f>'balança comercial_bens'!E32</f>
        <v>3.5358237061927464E-2</v>
      </c>
      <c r="E36">
        <f>logRus!G40</f>
        <v>1.925658514892124E-3</v>
      </c>
      <c r="F36">
        <f>Brazil_interest!J36</f>
        <v>0.1677782827680365</v>
      </c>
    </row>
    <row r="37" spans="1:6" x14ac:dyDescent="0.25">
      <c r="A37">
        <f t="shared" si="1"/>
        <v>20024</v>
      </c>
      <c r="B37">
        <f>PIB!G29</f>
        <v>-3.2831641301248382E-2</v>
      </c>
      <c r="C37">
        <f>INV!G29</f>
        <v>-8.6624814090050961E-2</v>
      </c>
      <c r="D37">
        <f>'balança comercial_bens'!E33</f>
        <v>3.9843277539861305E-2</v>
      </c>
      <c r="E37">
        <f>logRus!G41</f>
        <v>-5.1657954588887256E-3</v>
      </c>
      <c r="F37">
        <f>Brazil_interest!J37</f>
        <v>0.11920451471939744</v>
      </c>
    </row>
    <row r="38" spans="1:6" x14ac:dyDescent="0.25">
      <c r="A38">
        <f t="shared" ref="A38" si="2">A34+10</f>
        <v>20031</v>
      </c>
      <c r="B38">
        <f>PIB!G30</f>
        <v>-4.2871372341528158E-2</v>
      </c>
      <c r="C38">
        <f>INV!G30</f>
        <v>-0.12181284609155707</v>
      </c>
      <c r="D38">
        <f>'balança comercial_bens'!E34</f>
        <v>3.8559469222383444E-2</v>
      </c>
      <c r="E38">
        <f>logRus!G42</f>
        <v>-7.4965142696228728E-3</v>
      </c>
      <c r="F38">
        <f>Brazil_interest!J38</f>
        <v>7.6964507909510455E-2</v>
      </c>
    </row>
    <row r="39" spans="1:6" x14ac:dyDescent="0.25">
      <c r="A39">
        <f t="shared" ref="A39:A41" si="3">A38+1</f>
        <v>20032</v>
      </c>
      <c r="B39">
        <f>PIB!G31</f>
        <v>-5.6872858139357163E-2</v>
      </c>
      <c r="C39">
        <f>INV!G31</f>
        <v>-0.1991112178688299</v>
      </c>
      <c r="D39">
        <f>'balança comercial_bens'!E35</f>
        <v>3.8750535699810282E-2</v>
      </c>
      <c r="E39">
        <f>logRus!G43</f>
        <v>-9.6020533285504379E-3</v>
      </c>
      <c r="F39">
        <f>Brazil_interest!J39</f>
        <v>7.1629936847221465E-2</v>
      </c>
    </row>
    <row r="40" spans="1:6" x14ac:dyDescent="0.25">
      <c r="A40">
        <f t="shared" si="3"/>
        <v>20033</v>
      </c>
      <c r="B40">
        <f>PIB!G32</f>
        <v>-5.3011578024033668E-2</v>
      </c>
      <c r="C40">
        <f>INV!G32</f>
        <v>-0.19759341513952577</v>
      </c>
      <c r="D40">
        <f>'balança comercial_bens'!E36</f>
        <v>4.4867919631725664E-2</v>
      </c>
      <c r="E40">
        <f>logRus!G44</f>
        <v>-1.0329787106222538E-2</v>
      </c>
      <c r="F40">
        <f>Brazil_interest!J40</f>
        <v>5.4041380214113768E-2</v>
      </c>
    </row>
    <row r="41" spans="1:6" x14ac:dyDescent="0.25">
      <c r="A41">
        <f t="shared" si="3"/>
        <v>20034</v>
      </c>
      <c r="B41">
        <f>PIB!G33</f>
        <v>-4.8143040938355419E-2</v>
      </c>
      <c r="C41">
        <f>INV!G33</f>
        <v>-0.15869969572205633</v>
      </c>
      <c r="D41">
        <f>'balança comercial_bens'!E37</f>
        <v>4.3941463492861099E-2</v>
      </c>
      <c r="E41">
        <f>logRus!G45</f>
        <v>-1.1114890723402875E-2</v>
      </c>
      <c r="F41">
        <f>Brazil_interest!J41</f>
        <v>5.0541763311540033E-2</v>
      </c>
    </row>
    <row r="42" spans="1:6" x14ac:dyDescent="0.25">
      <c r="A42">
        <f t="shared" ref="A42" si="4">A38+10</f>
        <v>20041</v>
      </c>
      <c r="B42">
        <f>PIB!G34</f>
        <v>-4.0055004205428624E-2</v>
      </c>
      <c r="C42">
        <f>INV!G34</f>
        <v>-0.13233190198565215</v>
      </c>
      <c r="D42">
        <f>'balança comercial_bens'!E38</f>
        <v>4.5651018298607605E-2</v>
      </c>
      <c r="E42">
        <f>logRus!G46</f>
        <v>-1.2947135522829127E-2</v>
      </c>
      <c r="F42">
        <f>Brazil_interest!J42</f>
        <v>6.4462014236498166E-2</v>
      </c>
    </row>
    <row r="43" spans="1:6" x14ac:dyDescent="0.25">
      <c r="A43">
        <f t="shared" ref="A43:A45" si="5">A42+1</f>
        <v>20042</v>
      </c>
      <c r="B43">
        <f>PIB!G35</f>
        <v>-1.840058996456051E-2</v>
      </c>
      <c r="C43">
        <f>INV!G35</f>
        <v>-0.10389469931270678</v>
      </c>
      <c r="D43">
        <f>'balança comercial_bens'!E39</f>
        <v>4.7191686861475894E-2</v>
      </c>
      <c r="E43">
        <f>logRus!G47</f>
        <v>-1.4108947083798437E-2</v>
      </c>
      <c r="F43">
        <f>Brazil_interest!J43</f>
        <v>5.3660892531159493E-2</v>
      </c>
    </row>
    <row r="44" spans="1:6" x14ac:dyDescent="0.25">
      <c r="A44">
        <f t="shared" si="5"/>
        <v>20043</v>
      </c>
      <c r="B44">
        <f>PIB!G36</f>
        <v>-1.125283984325165E-2</v>
      </c>
      <c r="C44">
        <f>INV!G36</f>
        <v>-8.8974251480591349E-2</v>
      </c>
      <c r="D44">
        <f>'balança comercial_bens'!E40</f>
        <v>5.4159510540337713E-2</v>
      </c>
      <c r="E44">
        <f>logRus!G48</f>
        <v>-1.0890810811474411E-2</v>
      </c>
      <c r="F44">
        <f>Brazil_interest!J44</f>
        <v>4.6982482195526074E-2</v>
      </c>
    </row>
    <row r="45" spans="1:6" x14ac:dyDescent="0.25">
      <c r="A45">
        <f t="shared" si="5"/>
        <v>20044</v>
      </c>
      <c r="B45">
        <f>PIB!G37</f>
        <v>-9.1609436937449829E-3</v>
      </c>
      <c r="C45">
        <f>INV!G37</f>
        <v>-0.11091137626393355</v>
      </c>
      <c r="D45">
        <f>'balança comercial_bens'!E41</f>
        <v>4.5815645221993856E-2</v>
      </c>
      <c r="E45">
        <f>logRus!G49</f>
        <v>-7.2407312509431901E-3</v>
      </c>
      <c r="F45">
        <f>Brazil_interest!J45</f>
        <v>4.8289447484062914E-2</v>
      </c>
    </row>
    <row r="46" spans="1:6" x14ac:dyDescent="0.25">
      <c r="A46">
        <f t="shared" ref="A46" si="6">A42+10</f>
        <v>20051</v>
      </c>
      <c r="B46">
        <f>PIB!G38</f>
        <v>-5.870344772257674E-3</v>
      </c>
      <c r="C46">
        <f>INV!G38</f>
        <v>-0.13592999034803643</v>
      </c>
      <c r="D46">
        <f>'balança comercial_bens'!E42</f>
        <v>5.0833649274794633E-2</v>
      </c>
      <c r="E46">
        <f>logRus!G50</f>
        <v>-2.4203023218602659E-3</v>
      </c>
      <c r="F46">
        <f>Brazil_interest!J46</f>
        <v>5.162977718887049E-2</v>
      </c>
    </row>
    <row r="47" spans="1:6" x14ac:dyDescent="0.25">
      <c r="A47">
        <f t="shared" ref="A47:A49" si="7">A46+1</f>
        <v>20052</v>
      </c>
      <c r="B47">
        <f>PIB!G39</f>
        <v>-1.1022832465394927E-3</v>
      </c>
      <c r="C47">
        <f>INV!G39</f>
        <v>-9.3622135588977251E-2</v>
      </c>
      <c r="D47">
        <f>'balança comercial_bens'!E43</f>
        <v>4.5144810433028634E-2</v>
      </c>
      <c r="E47">
        <f>logRus!G51</f>
        <v>7.6734801154482526E-4</v>
      </c>
      <c r="F47">
        <f>Brazil_interest!J47</f>
        <v>5.2923048022879782E-2</v>
      </c>
    </row>
    <row r="48" spans="1:6" x14ac:dyDescent="0.25">
      <c r="A48">
        <f t="shared" si="7"/>
        <v>20053</v>
      </c>
      <c r="B48">
        <f>PIB!G40</f>
        <v>-1.2248736567561203E-2</v>
      </c>
      <c r="C48">
        <f>INV!G40</f>
        <v>-0.10431135942604719</v>
      </c>
      <c r="D48">
        <f>'balança comercial_bens'!E44</f>
        <v>5.1245923134806456E-2</v>
      </c>
      <c r="E48">
        <f>logRus!G52</f>
        <v>2.3780678203736915E-3</v>
      </c>
      <c r="F48">
        <f>Brazil_interest!J48</f>
        <v>4.9684640524106191E-2</v>
      </c>
    </row>
    <row r="49" spans="1:6" x14ac:dyDescent="0.25">
      <c r="A49">
        <f t="shared" si="7"/>
        <v>20054</v>
      </c>
      <c r="B49">
        <f>PIB!G41</f>
        <v>-5.2119484184824927E-3</v>
      </c>
      <c r="C49">
        <f>INV!G41</f>
        <v>-0.1079489810647658</v>
      </c>
      <c r="D49">
        <f>'balança comercial_bens'!E45</f>
        <v>4.8192399261258498E-2</v>
      </c>
      <c r="E49">
        <f>logRus!G53</f>
        <v>6.547451797771193E-3</v>
      </c>
      <c r="F49">
        <f>Brazil_interest!J49</f>
        <v>4.6149614396390648E-2</v>
      </c>
    </row>
    <row r="50" spans="1:6" x14ac:dyDescent="0.25">
      <c r="A50">
        <f t="shared" ref="A50" si="8">A46+10</f>
        <v>20061</v>
      </c>
      <c r="B50">
        <f>PIB!G42</f>
        <v>5.3947723192333541E-3</v>
      </c>
      <c r="C50">
        <f>INV!G42</f>
        <v>-6.778501215060917E-2</v>
      </c>
      <c r="D50">
        <f>'balança comercial_bens'!E46</f>
        <v>4.3297916125760123E-2</v>
      </c>
      <c r="E50">
        <f>logRus!G54</f>
        <v>1.3763885804036388E-2</v>
      </c>
      <c r="F50">
        <f>Brazil_interest!J50</f>
        <v>4.954622174646317E-2</v>
      </c>
    </row>
    <row r="51" spans="1:6" x14ac:dyDescent="0.25">
      <c r="A51">
        <f t="shared" ref="A51:A53" si="9">A50+1</f>
        <v>20062</v>
      </c>
      <c r="B51">
        <f>PIB!G43</f>
        <v>2.8124630890919988E-3</v>
      </c>
      <c r="C51">
        <f>INV!G43</f>
        <v>-7.7220357233847459E-2</v>
      </c>
      <c r="D51">
        <f>'balança comercial_bens'!E47</f>
        <v>3.0245050107716158E-2</v>
      </c>
      <c r="E51">
        <f>logRus!G55</f>
        <v>1.5017918166557606E-2</v>
      </c>
      <c r="F51">
        <f>Brazil_interest!J51</f>
        <v>4.7001962182285847E-2</v>
      </c>
    </row>
    <row r="52" spans="1:6" x14ac:dyDescent="0.25">
      <c r="A52">
        <f t="shared" si="9"/>
        <v>20063</v>
      </c>
      <c r="B52">
        <f>PIB!G44</f>
        <v>1.3860743138442544E-2</v>
      </c>
      <c r="C52">
        <f>INV!G44</f>
        <v>-7.2990467551113269E-2</v>
      </c>
      <c r="D52">
        <f>'balança comercial_bens'!E48</f>
        <v>4.7478583140135269E-2</v>
      </c>
      <c r="E52">
        <f>logRus!G56</f>
        <v>1.723008495317924E-2</v>
      </c>
      <c r="F52">
        <f>Brazil_interest!J52</f>
        <v>4.8480227149289581E-2</v>
      </c>
    </row>
    <row r="53" spans="1:6" x14ac:dyDescent="0.25">
      <c r="A53">
        <f t="shared" si="9"/>
        <v>20064</v>
      </c>
      <c r="B53">
        <f>PIB!G45</f>
        <v>1.99407970302099E-2</v>
      </c>
      <c r="C53">
        <f>INV!G45</f>
        <v>-4.7698050227360511E-2</v>
      </c>
      <c r="D53">
        <f>'balança comercial_bens'!E49</f>
        <v>4.1460689871515771E-2</v>
      </c>
      <c r="E53">
        <f>logRus!G57</f>
        <v>2.2212116718202859E-2</v>
      </c>
      <c r="F53">
        <f>Brazil_interest!J53</f>
        <v>5.0680535473892716E-2</v>
      </c>
    </row>
    <row r="54" spans="1:6" x14ac:dyDescent="0.25">
      <c r="A54">
        <f t="shared" ref="A54" si="10">A50+10</f>
        <v>20071</v>
      </c>
      <c r="B54">
        <f>PIB!G46</f>
        <v>3.3134352110749887E-2</v>
      </c>
      <c r="C54">
        <f>INV!G46</f>
        <v>-1.4782601940475537E-2</v>
      </c>
      <c r="D54">
        <f>'balança comercial_bens'!E50</f>
        <v>3.5802009703801811E-2</v>
      </c>
      <c r="E54">
        <f>logRus!G58</f>
        <v>2.0860475882872841E-2</v>
      </c>
      <c r="F54">
        <f>Brazil_interest!J54</f>
        <v>4.140485658267623E-2</v>
      </c>
    </row>
    <row r="55" spans="1:6" x14ac:dyDescent="0.25">
      <c r="A55">
        <f t="shared" ref="A55:A57" si="11">A54+1</f>
        <v>20072</v>
      </c>
      <c r="B55">
        <f>PIB!G47</f>
        <v>4.4138586569656191E-2</v>
      </c>
      <c r="C55">
        <f>INV!G47</f>
        <v>2.1998074041561289E-2</v>
      </c>
      <c r="D55">
        <f>'balança comercial_bens'!E51</f>
        <v>2.7450185814578018E-2</v>
      </c>
      <c r="E55">
        <f>logRus!G59</f>
        <v>1.9384957632965463E-2</v>
      </c>
      <c r="F55">
        <f>Brazil_interest!J55</f>
        <v>4.0765670544578247E-2</v>
      </c>
    </row>
    <row r="56" spans="1:6" x14ac:dyDescent="0.25">
      <c r="A56">
        <f t="shared" si="11"/>
        <v>20073</v>
      </c>
      <c r="B56">
        <f>PIB!G48</f>
        <v>4.8916423740673842E-2</v>
      </c>
      <c r="C56">
        <f>INV!G48</f>
        <v>3.5900302573265819E-2</v>
      </c>
      <c r="D56">
        <f>'balança comercial_bens'!E52</f>
        <v>2.4806309625147072E-2</v>
      </c>
      <c r="E56">
        <f>logRus!G60</f>
        <v>1.3709907936891081E-2</v>
      </c>
      <c r="F56">
        <f>Brazil_interest!J56</f>
        <v>3.7120518292189611E-2</v>
      </c>
    </row>
    <row r="57" spans="1:6" x14ac:dyDescent="0.25">
      <c r="A57">
        <f t="shared" si="11"/>
        <v>20074</v>
      </c>
      <c r="B57">
        <f>PIB!G49</f>
        <v>5.8447687047929797E-2</v>
      </c>
      <c r="C57">
        <f>INV!G49</f>
        <v>5.6452348943342834E-2</v>
      </c>
      <c r="D57">
        <f>'balança comercial_bens'!E53</f>
        <v>2.3461349097782434E-2</v>
      </c>
      <c r="E57">
        <f>logRus!G61</f>
        <v>4.3552008789603932E-3</v>
      </c>
      <c r="F57">
        <f>Brazil_interest!J57</f>
        <v>2.6586483015156936E-2</v>
      </c>
    </row>
    <row r="58" spans="1:6" x14ac:dyDescent="0.25">
      <c r="A58">
        <f t="shared" ref="A58" si="12">A54+10</f>
        <v>20081</v>
      </c>
      <c r="B58">
        <f>PIB!G50</f>
        <v>6.5569737457289889E-2</v>
      </c>
      <c r="C58">
        <f>INV!G50</f>
        <v>8.1594824311117975E-2</v>
      </c>
      <c r="D58">
        <f>'balança comercial_bens'!E54</f>
        <v>1.3258491706056794E-2</v>
      </c>
      <c r="E58">
        <f>logRus!G62</f>
        <v>-7.4011637669409488E-3</v>
      </c>
      <c r="F58">
        <f>Brazil_interest!J58</f>
        <v>3.2831400342802811E-2</v>
      </c>
    </row>
    <row r="59" spans="1:6" x14ac:dyDescent="0.25">
      <c r="A59">
        <f t="shared" ref="A59:A61" si="13">A58+1</f>
        <v>20082</v>
      </c>
      <c r="B59">
        <f>PIB!G51</f>
        <v>7.9799419731092947E-2</v>
      </c>
      <c r="C59">
        <f>INV!G51</f>
        <v>0.13268205693470225</v>
      </c>
      <c r="D59">
        <f>'balança comercial_bens'!E55</f>
        <v>1.118387584136412E-2</v>
      </c>
      <c r="E59">
        <f>logRus!G63</f>
        <v>7.0607568402915918E-4</v>
      </c>
      <c r="F59">
        <f>Brazil_interest!J59</f>
        <v>3.0426982773972794E-2</v>
      </c>
    </row>
    <row r="60" spans="1:6" x14ac:dyDescent="0.25">
      <c r="A60">
        <f t="shared" si="13"/>
        <v>20083</v>
      </c>
      <c r="B60">
        <f>PIB!G52</f>
        <v>9.0616991441799577E-2</v>
      </c>
      <c r="C60">
        <f>INV!G52</f>
        <v>0.17786033297286785</v>
      </c>
      <c r="D60">
        <f>'balança comercial_bens'!E56</f>
        <v>1.3750272989085547E-2</v>
      </c>
      <c r="E60">
        <f>logRus!G64</f>
        <v>-8.6427457449481347E-3</v>
      </c>
      <c r="F60">
        <f>Brazil_interest!J60</f>
        <v>3.8081134113426632E-2</v>
      </c>
    </row>
    <row r="61" spans="1:6" x14ac:dyDescent="0.25">
      <c r="A61">
        <f t="shared" si="13"/>
        <v>20084</v>
      </c>
      <c r="B61">
        <f>PIB!G53</f>
        <v>4.6628138709277067E-2</v>
      </c>
      <c r="C61">
        <f>INV!G53</f>
        <v>8.6100796059099594E-2</v>
      </c>
      <c r="D61">
        <f>'balança comercial_bens'!E57</f>
        <v>1.6335902174495504E-2</v>
      </c>
      <c r="E61">
        <f>logRus!G65</f>
        <v>-1.8152364451889412E-2</v>
      </c>
      <c r="F61">
        <f>Brazil_interest!J61</f>
        <v>3.7801729943832504E-2</v>
      </c>
    </row>
    <row r="62" spans="1:6" x14ac:dyDescent="0.25">
      <c r="A62">
        <f t="shared" ref="A62" si="14">A58+10</f>
        <v>20091</v>
      </c>
      <c r="B62">
        <f>PIB!G54</f>
        <v>2.6594041647194366E-2</v>
      </c>
      <c r="C62">
        <f>INV!G54</f>
        <v>-3.6018735594724127E-2</v>
      </c>
      <c r="D62">
        <f>'balança comercial_bens'!E58</f>
        <v>1.6446035722129625E-2</v>
      </c>
      <c r="E62">
        <f>logRus!G66</f>
        <v>-1.1758992984245657E-2</v>
      </c>
      <c r="F62">
        <f>Brazil_interest!J62</f>
        <v>3.0948118985598981E-2</v>
      </c>
    </row>
    <row r="63" spans="1:6" x14ac:dyDescent="0.25">
      <c r="A63">
        <f t="shared" ref="A63:A65" si="15">A62+1</f>
        <v>20092</v>
      </c>
      <c r="B63">
        <f>PIB!G55</f>
        <v>3.9382335928691781E-2</v>
      </c>
      <c r="C63">
        <f>INV!G55</f>
        <v>2.7904793316586129E-2</v>
      </c>
      <c r="D63">
        <f>'balança comercial_bens'!E59</f>
        <v>2.2008001673949479E-2</v>
      </c>
      <c r="E63">
        <f>logRus!G67</f>
        <v>-5.6708674555023863E-3</v>
      </c>
      <c r="F63">
        <f>Brazil_interest!J63</f>
        <v>2.9820609704622969E-2</v>
      </c>
    </row>
    <row r="64" spans="1:6" x14ac:dyDescent="0.25">
      <c r="A64">
        <f t="shared" si="15"/>
        <v>20093</v>
      </c>
      <c r="B64">
        <f>PIB!G56</f>
        <v>5.6923752260579441E-2</v>
      </c>
      <c r="C64">
        <f>INV!G56</f>
        <v>0.11671769392610631</v>
      </c>
      <c r="D64">
        <f>'balança comercial_bens'!E60</f>
        <v>1.2863043341452031E-2</v>
      </c>
      <c r="E64">
        <f>logRus!G68</f>
        <v>4.690277671041201E-5</v>
      </c>
      <c r="F64">
        <f>Brazil_interest!J64</f>
        <v>3.2080710617067798E-2</v>
      </c>
    </row>
    <row r="65" spans="1:6" x14ac:dyDescent="0.25">
      <c r="A65">
        <f t="shared" si="15"/>
        <v>20094</v>
      </c>
      <c r="B65">
        <f>PIB!G57</f>
        <v>7.6875238269218826E-2</v>
      </c>
      <c r="C65">
        <f>INV!G57</f>
        <v>0.18501226348498356</v>
      </c>
      <c r="D65">
        <f>'balança comercial_bens'!E61</f>
        <v>9.598027802125193E-3</v>
      </c>
      <c r="E65">
        <f>logRus!G69</f>
        <v>-1.3869133917832818E-3</v>
      </c>
      <c r="F65">
        <f>Brazil_interest!J65</f>
        <v>3.0710884512300484E-2</v>
      </c>
    </row>
    <row r="66" spans="1:6" x14ac:dyDescent="0.25">
      <c r="A66">
        <f t="shared" ref="A66" si="16">A62+10</f>
        <v>20101</v>
      </c>
      <c r="B66">
        <f>PIB!G58</f>
        <v>9.1679016381837286E-2</v>
      </c>
      <c r="C66">
        <f>INV!G58</f>
        <v>0.19918202589538758</v>
      </c>
      <c r="D66">
        <f>'balança comercial_bens'!E62</f>
        <v>8.3420612810617446E-3</v>
      </c>
      <c r="E66">
        <f>logRus!G70</f>
        <v>-4.0602354827026944E-3</v>
      </c>
      <c r="F66">
        <f>Brazil_interest!J66</f>
        <v>3.0266504350711397E-2</v>
      </c>
    </row>
    <row r="67" spans="1:6" x14ac:dyDescent="0.25">
      <c r="A67">
        <f t="shared" ref="A67:A69" si="17">A66+1</f>
        <v>20102</v>
      </c>
      <c r="B67">
        <f>PIB!G59</f>
        <v>9.8867854432832303E-2</v>
      </c>
      <c r="C67">
        <f>INV!G59</f>
        <v>0.21404789282254999</v>
      </c>
      <c r="D67">
        <f>'balança comercial_bens'!E63</f>
        <v>5.8459959432754383E-3</v>
      </c>
      <c r="E67">
        <f>logRus!G71</f>
        <v>-1.0885738638945264E-2</v>
      </c>
      <c r="F67">
        <f>Brazil_interest!J67</f>
        <v>2.5260291440069214E-2</v>
      </c>
    </row>
    <row r="68" spans="1:6" x14ac:dyDescent="0.25">
      <c r="A68">
        <f t="shared" si="17"/>
        <v>20103</v>
      </c>
      <c r="B68">
        <f>PIB!G60</f>
        <v>0.10209955412519456</v>
      </c>
      <c r="C68">
        <f>INV!G60</f>
        <v>0.23910949260531211</v>
      </c>
      <c r="D68">
        <f>'balança comercial_bens'!E64</f>
        <v>4.7857764350881776E-3</v>
      </c>
      <c r="E68">
        <f>logRus!G72</f>
        <v>-1.2435424929552959E-2</v>
      </c>
      <c r="F68">
        <f>Brazil_interest!J68</f>
        <v>1.8069080819362343E-2</v>
      </c>
    </row>
    <row r="69" spans="1:6" x14ac:dyDescent="0.25">
      <c r="A69">
        <f t="shared" si="17"/>
        <v>20104</v>
      </c>
      <c r="B69">
        <f>PIB!G61</f>
        <v>0.11074258704033646</v>
      </c>
      <c r="C69">
        <f>INV!G61</f>
        <v>0.23920469857152415</v>
      </c>
      <c r="D69">
        <f>'balança comercial_bens'!E65</f>
        <v>1.3239356679149133E-2</v>
      </c>
      <c r="E69">
        <f>logRus!G73</f>
        <v>-1.5165933690883831E-2</v>
      </c>
      <c r="F69">
        <f>Brazil_interest!J69</f>
        <v>1.5066374480191573E-2</v>
      </c>
    </row>
    <row r="70" spans="1:6" x14ac:dyDescent="0.25">
      <c r="A70">
        <f t="shared" ref="A70" si="18">A66+10</f>
        <v>20111</v>
      </c>
      <c r="B70">
        <f>PIB!G62</f>
        <v>0.11845943416494098</v>
      </c>
      <c r="C70">
        <f>INV!G62</f>
        <v>0.25584540578713</v>
      </c>
      <c r="D70">
        <f>'balança comercial_bens'!E66</f>
        <v>1.1510533111845304E-2</v>
      </c>
      <c r="E70">
        <f>logRus!G74</f>
        <v>-1.7804081032082877E-2</v>
      </c>
      <c r="F70">
        <f>Brazil_interest!J70</f>
        <v>1.3943153904493492E-2</v>
      </c>
    </row>
    <row r="71" spans="1:6" x14ac:dyDescent="0.25">
      <c r="A71">
        <f t="shared" ref="A71:A73" si="19">A70+1</f>
        <v>20112</v>
      </c>
      <c r="B71">
        <f>PIB!G63</f>
        <v>0.12306391036453945</v>
      </c>
      <c r="C71">
        <f>INV!G63</f>
        <v>0.27060201319944799</v>
      </c>
      <c r="D71">
        <f>'balança comercial_bens'!E67</f>
        <v>6.9685549008820791E-3</v>
      </c>
      <c r="E71">
        <f>logRus!G75</f>
        <v>-2.0129754837535211E-2</v>
      </c>
      <c r="F71">
        <f>Brazil_interest!J71</f>
        <v>1.472919164761056E-2</v>
      </c>
    </row>
    <row r="72" spans="1:6" x14ac:dyDescent="0.25">
      <c r="A72">
        <f t="shared" si="19"/>
        <v>20113</v>
      </c>
      <c r="B72">
        <f>PIB!G64</f>
        <v>0.11530085937173684</v>
      </c>
      <c r="C72">
        <f>INV!G64</f>
        <v>0.27755079181897013</v>
      </c>
      <c r="D72">
        <f>'balança comercial_bens'!E68</f>
        <v>1.114776951222541E-2</v>
      </c>
      <c r="E72">
        <f>logRus!G76</f>
        <v>-2.3393876067287447E-2</v>
      </c>
      <c r="F72">
        <f>Brazil_interest!J72</f>
        <v>1.5637656643080526E-2</v>
      </c>
    </row>
    <row r="73" spans="1:6" x14ac:dyDescent="0.25">
      <c r="A73">
        <f t="shared" si="19"/>
        <v>20114</v>
      </c>
      <c r="B73">
        <f>PIB!G65</f>
        <v>0.11875240359750805</v>
      </c>
      <c r="C73">
        <f>INV!G65</f>
        <v>0.27287887367587071</v>
      </c>
      <c r="D73">
        <f>'balança comercial_bens'!E69</f>
        <v>1.1751230360097953E-2</v>
      </c>
      <c r="E73">
        <f>logRus!G77</f>
        <v>-1.8796228127719569E-2</v>
      </c>
      <c r="F73">
        <f>Brazil_interest!J73</f>
        <v>1.7037022391182516E-2</v>
      </c>
    </row>
    <row r="74" spans="1:6" x14ac:dyDescent="0.25">
      <c r="A74">
        <f t="shared" ref="A74" si="20">A70+10</f>
        <v>20121</v>
      </c>
      <c r="B74">
        <f>PIB!G66</f>
        <v>9.8912905710831112E-2</v>
      </c>
      <c r="C74">
        <f>INV!G66</f>
        <v>0.26220491757876907</v>
      </c>
      <c r="D74">
        <f>'balança comercial_bens'!E70</f>
        <v>1.0126037915630052E-2</v>
      </c>
      <c r="E74">
        <f>logRus!G78</f>
        <v>-1.8831621419907685E-2</v>
      </c>
      <c r="F74">
        <f>Brazil_interest!J74</f>
        <v>1.6747616608726219E-2</v>
      </c>
    </row>
    <row r="75" spans="1:6" x14ac:dyDescent="0.25">
      <c r="A75">
        <f t="shared" ref="A75:A77" si="21">A74+1</f>
        <v>20122</v>
      </c>
      <c r="B75">
        <f>PIB!G67</f>
        <v>0.11130902117181218</v>
      </c>
      <c r="C75">
        <f>INV!G67</f>
        <v>0.25964726652163694</v>
      </c>
      <c r="D75">
        <f>'balança comercial_bens'!E71</f>
        <v>1.4076652383076919E-4</v>
      </c>
      <c r="E75">
        <f>logRus!G79</f>
        <v>-1.6256289198812265E-2</v>
      </c>
      <c r="F75">
        <f>Brazil_interest!J75</f>
        <v>1.6345254904003723E-2</v>
      </c>
    </row>
    <row r="76" spans="1:6" x14ac:dyDescent="0.25">
      <c r="A76">
        <f t="shared" si="21"/>
        <v>20123</v>
      </c>
      <c r="B76">
        <f>PIB!G68</f>
        <v>0.12274646712525961</v>
      </c>
      <c r="C76">
        <f>INV!G68</f>
        <v>0.24585198259811047</v>
      </c>
      <c r="D76">
        <f>'balança comercial_bens'!E72</f>
        <v>1.0377290341270863E-2</v>
      </c>
      <c r="E76">
        <f>logRus!G80</f>
        <v>-1.5529690848413588E-2</v>
      </c>
      <c r="F76">
        <f>Brazil_interest!J76</f>
        <v>1.4467386902788384E-2</v>
      </c>
    </row>
    <row r="77" spans="1:6" x14ac:dyDescent="0.25">
      <c r="A77">
        <f t="shared" si="21"/>
        <v>20124</v>
      </c>
      <c r="B77">
        <f>PIB!G69</f>
        <v>0.11755898936531928</v>
      </c>
      <c r="C77">
        <f>INV!G69</f>
        <v>0.25998565367995052</v>
      </c>
      <c r="D77">
        <f>'balança comercial_bens'!E73</f>
        <v>7.0381420065545389E-3</v>
      </c>
      <c r="E77">
        <f>logRus!G81</f>
        <v>-1.974554829397783E-2</v>
      </c>
      <c r="F77">
        <f>Brazil_interest!J77</f>
        <v>1.3693468695879183E-2</v>
      </c>
    </row>
    <row r="78" spans="1:6" x14ac:dyDescent="0.25">
      <c r="A78">
        <f t="shared" ref="A78" si="22">A74+10</f>
        <v>20131</v>
      </c>
      <c r="B78">
        <f>PIB!G70</f>
        <v>0.11743970518311198</v>
      </c>
      <c r="C78">
        <f>INV!G70</f>
        <v>0.26632197475690855</v>
      </c>
      <c r="D78">
        <f>'balança comercial_bens'!E74</f>
        <v>-1.683005720573949E-3</v>
      </c>
      <c r="E78">
        <f>logRus!G82</f>
        <v>-1.7656374534602087E-2</v>
      </c>
      <c r="F78">
        <f>Brazil_interest!J78</f>
        <v>1.5203345762074997E-2</v>
      </c>
    </row>
    <row r="79" spans="1:6" x14ac:dyDescent="0.25">
      <c r="A79">
        <f t="shared" ref="A79:A81" si="23">A78+1</f>
        <v>20132</v>
      </c>
      <c r="B79">
        <f>PIB!G71</f>
        <v>0.12546486397044898</v>
      </c>
      <c r="C79">
        <f>INV!G71</f>
        <v>0.31898112661928746</v>
      </c>
      <c r="D79">
        <f>'balança comercial_bens'!E75</f>
        <v>-4.130677341602833E-3</v>
      </c>
      <c r="E79">
        <f>logRus!G83</f>
        <v>-1.6089782833389403E-2</v>
      </c>
      <c r="F79">
        <f>Brazil_interest!J79</f>
        <v>1.451513858070466E-2</v>
      </c>
    </row>
    <row r="80" spans="1:6" x14ac:dyDescent="0.25">
      <c r="A80">
        <f t="shared" si="23"/>
        <v>20133</v>
      </c>
      <c r="B80">
        <f>PIB!G72</f>
        <v>0.12473062787268407</v>
      </c>
      <c r="C80">
        <f>INV!G72</f>
        <v>0.29974318981852122</v>
      </c>
      <c r="D80">
        <f>'balança comercial_bens'!E76</f>
        <v>-1.6676268115112182E-3</v>
      </c>
      <c r="E80">
        <f>logRus!G84</f>
        <v>-1.5807340976111046E-2</v>
      </c>
      <c r="F80">
        <f>Brazil_interest!J80</f>
        <v>1.6330254929198113E-2</v>
      </c>
    </row>
    <row r="81" spans="1:6" x14ac:dyDescent="0.25">
      <c r="A81">
        <f t="shared" si="23"/>
        <v>20134</v>
      </c>
      <c r="B81">
        <f>PIB!G73</f>
        <v>0.12078870899509742</v>
      </c>
      <c r="C81">
        <f>INV!G73</f>
        <v>0.28425196997279034</v>
      </c>
      <c r="D81">
        <f>'balança comercial_bens'!E77</f>
        <v>8.0437532880528618E-3</v>
      </c>
      <c r="E81">
        <f>logRus!G85</f>
        <v>-1.5572292061202437E-2</v>
      </c>
      <c r="F81">
        <f>Brazil_interest!J81</f>
        <v>1.4891601374486167E-2</v>
      </c>
    </row>
    <row r="82" spans="1:6" x14ac:dyDescent="0.25">
      <c r="A82">
        <f t="shared" ref="A82" si="24">A78+10</f>
        <v>20141</v>
      </c>
      <c r="B82">
        <f>PIB!G74</f>
        <v>0.12358896550184184</v>
      </c>
      <c r="C82">
        <f>INV!G74</f>
        <v>0.28246600173781733</v>
      </c>
      <c r="D82">
        <f>'balança comercial_bens'!E78</f>
        <v>-3.5124719111833316E-3</v>
      </c>
      <c r="E82">
        <f>logRus!G86</f>
        <v>-1.5603137839948909E-2</v>
      </c>
      <c r="F82">
        <f>Brazil_interest!J82</f>
        <v>1.4048712893713566E-2</v>
      </c>
    </row>
    <row r="83" spans="1:6" x14ac:dyDescent="0.25">
      <c r="A83">
        <f t="shared" ref="A83:A85" si="25">A82+1</f>
        <v>20142</v>
      </c>
      <c r="B83">
        <f>PIB!G75</f>
        <v>0.10325518238428799</v>
      </c>
      <c r="C83">
        <f>INV!G75</f>
        <v>0.23240699057648406</v>
      </c>
      <c r="D83">
        <f>'balança comercial_bens'!E79</f>
        <v>-2.1361798037106338E-3</v>
      </c>
      <c r="E83">
        <f>logRus!G87</f>
        <v>-1.9196661363645583E-2</v>
      </c>
      <c r="F83">
        <f>Brazil_interest!J83</f>
        <v>1.3759983861105557E-2</v>
      </c>
    </row>
    <row r="84" spans="1:6" x14ac:dyDescent="0.25">
      <c r="A84">
        <f t="shared" si="25"/>
        <v>20143</v>
      </c>
      <c r="B84">
        <f>PIB!G76</f>
        <v>9.7143633698959064E-2</v>
      </c>
      <c r="C84">
        <f>INV!G76</f>
        <v>0.20360982249803072</v>
      </c>
      <c r="D84">
        <f>'balança comercial_bens'!E80</f>
        <v>-1.298555034569252E-3</v>
      </c>
      <c r="E84">
        <f>logRus!G88</f>
        <v>-1.8602676797566213E-2</v>
      </c>
      <c r="F84">
        <f>Brazil_interest!J84</f>
        <v>1.5063233795172057E-2</v>
      </c>
    </row>
    <row r="85" spans="1:6" x14ac:dyDescent="0.25">
      <c r="A85">
        <f t="shared" si="25"/>
        <v>20144</v>
      </c>
      <c r="B85">
        <f>PIB!G77</f>
        <v>9.6811953479123858E-2</v>
      </c>
      <c r="C85">
        <f>INV!G77</f>
        <v>0.19653902274304169</v>
      </c>
      <c r="D85">
        <f>'balança comercial_bens'!E81</f>
        <v>-5.0771043823710739E-3</v>
      </c>
      <c r="E85">
        <f>logRus!G89</f>
        <v>-1.4226073626027739E-2</v>
      </c>
      <c r="F85">
        <f>Brazil_interest!J85</f>
        <v>1.9152139428076191E-2</v>
      </c>
    </row>
    <row r="86" spans="1:6" x14ac:dyDescent="0.25">
      <c r="A86">
        <f t="shared" ref="A86" si="26">A82+10</f>
        <v>20151</v>
      </c>
      <c r="B86">
        <f>PIB!G78</f>
        <v>8.3252738071189825E-2</v>
      </c>
      <c r="C86">
        <f>INV!G78</f>
        <v>0.16037220102108574</v>
      </c>
      <c r="D86">
        <f>'balança comercial_bens'!E82</f>
        <v>-4.2091761500751244E-3</v>
      </c>
      <c r="E86">
        <f>logRus!G90</f>
        <v>-9.891642466466866E-3</v>
      </c>
      <c r="F86">
        <f>Brazil_interest!J86</f>
        <v>2.0157032153963129E-2</v>
      </c>
    </row>
    <row r="87" spans="1:6" x14ac:dyDescent="0.25">
      <c r="A87">
        <f t="shared" ref="A87:A89" si="27">A86+1</f>
        <v>20152</v>
      </c>
      <c r="B87">
        <f>PIB!G79</f>
        <v>5.396498857827936E-2</v>
      </c>
      <c r="C87">
        <f>INV!G79</f>
        <v>8.3262315277414345E-2</v>
      </c>
      <c r="D87">
        <f>'balança comercial_bens'!E83</f>
        <v>8.2570803003780228E-3</v>
      </c>
      <c r="E87">
        <f>logRus!G91</f>
        <v>-1.0073119244869321E-2</v>
      </c>
      <c r="F87">
        <f>Brazil_interest!J87</f>
        <v>2.4448345112012444E-2</v>
      </c>
    </row>
    <row r="88" spans="1:6" x14ac:dyDescent="0.25">
      <c r="A88">
        <f t="shared" si="27"/>
        <v>20153</v>
      </c>
      <c r="B88">
        <f>PIB!G80</f>
        <v>3.179548807114152E-2</v>
      </c>
      <c r="C88">
        <f>INV!G80</f>
        <v>2.0364722188698892E-2</v>
      </c>
      <c r="D88">
        <f>'balança comercial_bens'!E84</f>
        <v>1.5165314125671205E-2</v>
      </c>
      <c r="E88">
        <f>logRus!G92</f>
        <v>-8.6245613654143682E-3</v>
      </c>
      <c r="F88">
        <f>Brazil_interest!J88</f>
        <v>2.5782570802387546E-2</v>
      </c>
    </row>
    <row r="89" spans="1:6" x14ac:dyDescent="0.25">
      <c r="A89">
        <f t="shared" si="27"/>
        <v>20154</v>
      </c>
      <c r="B89">
        <f>PIB!G81</f>
        <v>1.8561353979116291E-2</v>
      </c>
      <c r="C89">
        <f>INV!G81</f>
        <v>-3.9467021449831385E-2</v>
      </c>
      <c r="D89">
        <f>'balança comercial_bens'!E85</f>
        <v>2.3813851658880478E-2</v>
      </c>
      <c r="E89">
        <f>logRus!G93</f>
        <v>-5.5087765798610862E-3</v>
      </c>
      <c r="F89">
        <f>Brazil_interest!J89</f>
        <v>2.1654334037760081E-2</v>
      </c>
    </row>
    <row r="90" spans="1:6" x14ac:dyDescent="0.25">
      <c r="A90">
        <f t="shared" ref="A90" si="28">A86+10</f>
        <v>20161</v>
      </c>
      <c r="B90">
        <f>PIB!G82</f>
        <v>-1.3847164299702897E-3</v>
      </c>
      <c r="C90">
        <f>INV!G82</f>
        <v>-6.7623456688732375E-2</v>
      </c>
      <c r="D90">
        <f>'balança comercial_bens'!E86</f>
        <v>2.8426766216389267E-2</v>
      </c>
      <c r="E90">
        <f>logRus!G94</f>
        <v>-4.4901356926088766E-3</v>
      </c>
      <c r="F90">
        <f>Brazil_interest!J90</f>
        <v>1.9897074728938983E-2</v>
      </c>
    </row>
    <row r="91" spans="1:6" x14ac:dyDescent="0.25">
      <c r="A91">
        <f t="shared" ref="A91:A93" si="29">A90+1</f>
        <v>20162</v>
      </c>
      <c r="B91">
        <f>PIB!G83</f>
        <v>-4.293235980729726E-3</v>
      </c>
      <c r="C91">
        <f>INV!G83</f>
        <v>-4.7883351771418781E-2</v>
      </c>
      <c r="D91">
        <f>'balança comercial_bens'!E87</f>
        <v>2.5855576762335387E-2</v>
      </c>
      <c r="E91">
        <f>logRus!G95</f>
        <v>-5.8348763671812352E-3</v>
      </c>
      <c r="F91">
        <f>Brazil_interest!J91</f>
        <v>1.8584584154744479E-2</v>
      </c>
    </row>
    <row r="92" spans="1:6" x14ac:dyDescent="0.25">
      <c r="A92">
        <f t="shared" si="29"/>
        <v>20163</v>
      </c>
      <c r="B92">
        <f>PIB!G84</f>
        <v>-1.5158791753972167E-2</v>
      </c>
      <c r="C92">
        <f>INV!G84</f>
        <v>-0.11558519305196491</v>
      </c>
      <c r="D92">
        <f>'balança comercial_bens'!E88</f>
        <v>2.1050429851742245E-2</v>
      </c>
      <c r="E92">
        <f>logRus!G96</f>
        <v>-5.5410394015872923E-3</v>
      </c>
      <c r="F92">
        <f>Brazil_interest!J92</f>
        <v>1.8238446505410323E-2</v>
      </c>
    </row>
    <row r="93" spans="1:6" x14ac:dyDescent="0.25">
      <c r="A93">
        <f t="shared" si="29"/>
        <v>20164</v>
      </c>
      <c r="B93">
        <f>PIB!G85</f>
        <v>-2.1864135710827348E-2</v>
      </c>
      <c r="C93">
        <f>INV!G85</f>
        <v>-0.1396701903193831</v>
      </c>
      <c r="D93">
        <f>'balança comercial_bens'!E89</f>
        <v>2.3592699014608705E-2</v>
      </c>
      <c r="E93">
        <f>logRus!G97</f>
        <v>-8.2054978345902363E-3</v>
      </c>
      <c r="F93">
        <f>Brazil_interest!J93</f>
        <v>1.6458208186393462E-2</v>
      </c>
    </row>
    <row r="94" spans="1:6" x14ac:dyDescent="0.25">
      <c r="A94">
        <f t="shared" ref="A94" si="30">A90+10</f>
        <v>20171</v>
      </c>
      <c r="B94">
        <f>PIB!G86</f>
        <v>-1.7128161145051557E-2</v>
      </c>
      <c r="C94">
        <f>INV!G86</f>
        <v>-0.14115979253623046</v>
      </c>
      <c r="D94">
        <f>'balança comercial_bens'!E90</f>
        <v>3.3537315597546892E-2</v>
      </c>
      <c r="E94">
        <f>logRus!G98</f>
        <v>-1.1769348317440051E-2</v>
      </c>
      <c r="F94">
        <f>Brazil_interest!J94</f>
        <v>1.652210322636892E-2</v>
      </c>
    </row>
    <row r="95" spans="1:6" x14ac:dyDescent="0.25">
      <c r="A95">
        <f t="shared" ref="A95:A97" si="31">A94+1</f>
        <v>20172</v>
      </c>
      <c r="B95">
        <f>PIB!G87</f>
        <v>-1.4305098149773876E-2</v>
      </c>
      <c r="C95">
        <f>INV!G87</f>
        <v>-0.14653693094084197</v>
      </c>
      <c r="D95">
        <f>'balança comercial_bens'!E91</f>
        <v>3.1028703022373753E-2</v>
      </c>
      <c r="E95">
        <f>logRus!G99</f>
        <v>-5.1268253764836114E-3</v>
      </c>
      <c r="F95">
        <f>Brazil_interest!J95</f>
        <v>1.7343519757075432E-2</v>
      </c>
    </row>
    <row r="96" spans="1:6" x14ac:dyDescent="0.25">
      <c r="A96">
        <f t="shared" si="31"/>
        <v>20173</v>
      </c>
      <c r="B96">
        <f>PIB!G88</f>
        <v>-1.767346536183112E-2</v>
      </c>
      <c r="C96">
        <f>INV!G88</f>
        <v>-0.14767434518758016</v>
      </c>
      <c r="D96">
        <f>'balança comercial_bens'!E92</f>
        <v>2.4367171139723615E-2</v>
      </c>
      <c r="E96">
        <f>logRus!G100</f>
        <v>-7.2028442740659461E-3</v>
      </c>
      <c r="F96">
        <f>Brazil_interest!J96</f>
        <v>1.6060976706827535E-2</v>
      </c>
    </row>
    <row r="97" spans="1:6" x14ac:dyDescent="0.25">
      <c r="A97">
        <f t="shared" si="31"/>
        <v>20174</v>
      </c>
      <c r="B97">
        <f>PIB!G89</f>
        <v>-1.7807757974733995E-2</v>
      </c>
      <c r="C97">
        <f>INV!G89</f>
        <v>-0.12230110107709447</v>
      </c>
      <c r="D97">
        <f>'balança comercial_bens'!E93</f>
        <v>2.2627029217096629E-2</v>
      </c>
      <c r="E97">
        <f>logRus!G101</f>
        <v>-5.6398832819833863E-3</v>
      </c>
      <c r="F97">
        <f>Brazil_interest!J97</f>
        <v>1.7070370244412509E-2</v>
      </c>
    </row>
    <row r="98" spans="1:6" x14ac:dyDescent="0.25">
      <c r="A98">
        <f t="shared" ref="A98" si="32">A94+10</f>
        <v>20181</v>
      </c>
      <c r="B98">
        <f>PIB!G90</f>
        <v>-1.7137612500717658E-2</v>
      </c>
      <c r="C98">
        <f>INV!G90</f>
        <v>-0.12823711596324294</v>
      </c>
      <c r="D98">
        <f>'balança comercial_bens'!E94</f>
        <v>2.5203023111113998E-2</v>
      </c>
      <c r="E98">
        <f>logRus!G102</f>
        <v>-3.0557062497857841E-3</v>
      </c>
      <c r="F98">
        <f>Brazil_interest!J98</f>
        <v>1.9563924407270627E-2</v>
      </c>
    </row>
    <row r="99" spans="1:6" x14ac:dyDescent="0.25">
      <c r="A99">
        <f t="shared" ref="A99:A101" si="33">A98+1</f>
        <v>20182</v>
      </c>
      <c r="B99">
        <f>PIB!G91</f>
        <v>-2.3926184892220981E-2</v>
      </c>
      <c r="C99">
        <f>INV!G91</f>
        <v>-0.12676080510102228</v>
      </c>
      <c r="D99">
        <f>'balança comercial_bens'!E95</f>
        <v>2.3272123923769036E-2</v>
      </c>
      <c r="E99">
        <f>logRus!G103</f>
        <v>-5.4296833847204216E-3</v>
      </c>
      <c r="F99">
        <f>Brazil_interest!J99</f>
        <v>1.8828654609588803E-2</v>
      </c>
    </row>
    <row r="100" spans="1:6" x14ac:dyDescent="0.25">
      <c r="A100">
        <f t="shared" si="33"/>
        <v>20183</v>
      </c>
      <c r="B100">
        <f>PIB!G92</f>
        <v>-1.991695376962177E-2</v>
      </c>
      <c r="C100">
        <f>INV!G92</f>
        <v>-8.0375287525897399E-2</v>
      </c>
      <c r="D100">
        <f>'balança comercial_bens'!E96</f>
        <v>1.5236992864385714E-2</v>
      </c>
      <c r="E100">
        <f>logRus!G104</f>
        <v>-2.3608941766250558E-3</v>
      </c>
      <c r="F100">
        <f>Brazil_interest!J100</f>
        <v>1.9022870908838266E-2</v>
      </c>
    </row>
    <row r="101" spans="1:6" x14ac:dyDescent="0.25">
      <c r="A101">
        <f t="shared" si="33"/>
        <v>20184</v>
      </c>
      <c r="B101">
        <f>PIB!G93</f>
        <v>-2.79368729167917E-2</v>
      </c>
      <c r="C101">
        <f>INV!G93</f>
        <v>-0.10319055924523202</v>
      </c>
      <c r="D101">
        <f>'balança comercial_bens'!E97</f>
        <v>2.891299363101351E-2</v>
      </c>
      <c r="E101">
        <f>logRus!G105</f>
        <v>1.8239023249715452E-3</v>
      </c>
      <c r="F101">
        <f>Brazil_interest!J101</f>
        <v>1.9175683770376446E-2</v>
      </c>
    </row>
    <row r="102" spans="1:6" x14ac:dyDescent="0.25">
      <c r="A102">
        <f t="shared" ref="A102" si="34">A98+10</f>
        <v>20191</v>
      </c>
      <c r="B102">
        <f>PIB!G94</f>
        <v>-3.058009031314235E-2</v>
      </c>
      <c r="C102">
        <f>INV!G94</f>
        <v>-0.1200432457739522</v>
      </c>
      <c r="D102">
        <f>'balança comercial_bens'!E98</f>
        <v>1.8112507595423852E-2</v>
      </c>
      <c r="E102">
        <f>logRus!G106</f>
        <v>5.5595254191034013E-3</v>
      </c>
      <c r="F102">
        <f>Brazil_interest!J102</f>
        <v>1.8372842883432994E-2</v>
      </c>
    </row>
    <row r="103" spans="1:6" x14ac:dyDescent="0.25">
      <c r="A103">
        <f t="shared" ref="A103:A105" si="35">A102+1</f>
        <v>20192</v>
      </c>
      <c r="B103">
        <f>PIB!G95</f>
        <v>-3.0294804130375219E-2</v>
      </c>
      <c r="C103">
        <f>INV!G95</f>
        <v>-7.4433816206248338E-2</v>
      </c>
      <c r="D103">
        <f>'balança comercial_bens'!E99</f>
        <v>1.9543389697958314E-2</v>
      </c>
      <c r="E103">
        <f>logRus!G107</f>
        <v>5.2002547559449617E-3</v>
      </c>
      <c r="F103">
        <f>Brazil_interest!J103</f>
        <v>1.789273841393119E-2</v>
      </c>
    </row>
    <row r="104" spans="1:6" x14ac:dyDescent="0.25">
      <c r="A104">
        <f t="shared" si="35"/>
        <v>20193</v>
      </c>
      <c r="B104">
        <f>PIB!G96</f>
        <v>-3.5598315950453596E-2</v>
      </c>
      <c r="C104">
        <f>INV!G96</f>
        <v>-5.237080002711636E-2</v>
      </c>
      <c r="D104">
        <f>'balança comercial_bens'!E100</f>
        <v>6.7227186377020812E-3</v>
      </c>
      <c r="E104">
        <f>logRus!G108</f>
        <v>3.4928905741910526E-3</v>
      </c>
      <c r="F104">
        <f>Brazil_interest!J104</f>
        <v>1.6273990283224109E-2</v>
      </c>
    </row>
    <row r="105" spans="1:6" x14ac:dyDescent="0.25">
      <c r="A105">
        <f t="shared" si="35"/>
        <v>20194</v>
      </c>
      <c r="B105">
        <f>PIB!G97</f>
        <v>-3.2379269759230667E-2</v>
      </c>
      <c r="C105">
        <f>INV!G97</f>
        <v>-0.11643623907723732</v>
      </c>
      <c r="D105">
        <f>'balança comercial_bens'!E101</f>
        <v>1.8838143123208952E-2</v>
      </c>
      <c r="E105">
        <f>logRus!G109</f>
        <v>1.1477482487567622E-3</v>
      </c>
      <c r="F105">
        <f>Brazil_interest!J105</f>
        <v>1.5881907048175565E-2</v>
      </c>
    </row>
    <row r="106" spans="1:6" x14ac:dyDescent="0.25">
      <c r="A106">
        <f t="shared" ref="A106" si="36">A102+10</f>
        <v>20201</v>
      </c>
      <c r="B106">
        <f>PIB!G98</f>
        <v>-6.1144815839873523E-2</v>
      </c>
      <c r="C106">
        <f>INV!G98</f>
        <v>-7.3305035809794639E-2</v>
      </c>
      <c r="D106">
        <f>'balança comercial_bens'!E102</f>
        <v>7.2242792399819398E-3</v>
      </c>
      <c r="E106">
        <f>logRus!G110</f>
        <v>-1.3045571152808053E-2</v>
      </c>
      <c r="F106">
        <f>Brazil_interest!J106</f>
        <v>1.6831844457930192E-2</v>
      </c>
    </row>
    <row r="107" spans="1:6" x14ac:dyDescent="0.25">
      <c r="A107">
        <f t="shared" ref="A107:A109" si="37">A106+1</f>
        <v>20202</v>
      </c>
      <c r="B107">
        <f>PIB!G99</f>
        <v>-0.15963403881912264</v>
      </c>
      <c r="C107">
        <f>INV!G99</f>
        <v>-0.25145091988287227</v>
      </c>
      <c r="D107">
        <f>'balança comercial_bens'!E103</f>
        <v>3.7528588271720023E-2</v>
      </c>
      <c r="E107">
        <f>logRus!G111</f>
        <v>-5.5930848229892036E-3</v>
      </c>
      <c r="F107">
        <f>Brazil_interest!J107</f>
        <v>1.8365679576280575E-2</v>
      </c>
    </row>
    <row r="108" spans="1:6" x14ac:dyDescent="0.25">
      <c r="A108">
        <f t="shared" si="37"/>
        <v>20203</v>
      </c>
      <c r="B108">
        <f>PIB!G100</f>
        <v>-8.8898043841074248E-2</v>
      </c>
      <c r="C108">
        <f>INV!G100</f>
        <v>-0.16351794352127236</v>
      </c>
      <c r="D108">
        <f>'balança comercial_bens'!E104</f>
        <v>4.4527101497352936E-2</v>
      </c>
      <c r="E108">
        <f>logRus!G112</f>
        <v>-1.1628833137734126E-2</v>
      </c>
      <c r="F108">
        <f>Brazil_interest!J108</f>
        <v>1.4589790339124198E-2</v>
      </c>
    </row>
    <row r="109" spans="1:6" x14ac:dyDescent="0.25">
      <c r="A109">
        <f t="shared" si="37"/>
        <v>20204</v>
      </c>
      <c r="B109">
        <f>PIB!G101</f>
        <v>-5.6801111412704053E-2</v>
      </c>
      <c r="C109">
        <f>INV!G101</f>
        <v>-3.9341229754341178E-2</v>
      </c>
      <c r="D109">
        <f>'balança comercial_bens'!E105</f>
        <v>1.4289375035337504E-2</v>
      </c>
      <c r="E109">
        <f>logRus!G113</f>
        <v>-1.549969545213691E-2</v>
      </c>
      <c r="F109">
        <f>Brazil_interest!J109</f>
        <v>1.6332658367013572E-2</v>
      </c>
    </row>
    <row r="110" spans="1:6" x14ac:dyDescent="0.25">
      <c r="A110">
        <f t="shared" ref="A110" si="38">A106+10</f>
        <v>20211</v>
      </c>
      <c r="B110">
        <f>PIB!G102</f>
        <v>-5.3638448878383649E-2</v>
      </c>
      <c r="C110">
        <f>INV!G102</f>
        <v>1.6352759466490063E-2</v>
      </c>
      <c r="D110">
        <f>'balança comercial_bens'!E106</f>
        <v>1.4186991334183136E-3</v>
      </c>
      <c r="E110">
        <f>logRus!G114</f>
        <v>-2.4082235665534701E-2</v>
      </c>
      <c r="F110">
        <f>Brazil_interest!J110</f>
        <v>1.2199375327560026E-2</v>
      </c>
    </row>
    <row r="111" spans="1:6" x14ac:dyDescent="0.25">
      <c r="A111">
        <f t="shared" ref="A111:A113" si="39">A110+1</f>
        <v>20212</v>
      </c>
      <c r="B111">
        <f>PIB!G103</f>
        <v>-6.6189229390926307E-2</v>
      </c>
      <c r="C111">
        <f>INV!G103</f>
        <v>-3.718599593782379E-2</v>
      </c>
      <c r="D111">
        <f>'balança comercial_bens'!E107</f>
        <v>5.4924304460222319E-2</v>
      </c>
      <c r="E111">
        <f>logRus!G115</f>
        <v>-4.3042631770147985E-2</v>
      </c>
      <c r="F111">
        <f>Brazil_interest!J111</f>
        <v>7.5271186004221176E-3</v>
      </c>
    </row>
    <row r="112" spans="1:6" x14ac:dyDescent="0.25">
      <c r="A112">
        <f t="shared" si="39"/>
        <v>20213</v>
      </c>
      <c r="B112">
        <f>PIB!G104</f>
        <v>-7.0216304554003628E-2</v>
      </c>
      <c r="C112">
        <f>INV!G104</f>
        <v>-4.3553217771637343E-2</v>
      </c>
      <c r="D112">
        <f>'balança comercial_bens'!E108</f>
        <v>3.3360589593951606E-2</v>
      </c>
      <c r="E112">
        <f>logRus!G116</f>
        <v>-4.9231037123706835E-2</v>
      </c>
      <c r="F112">
        <f>Brazil_interest!J112</f>
        <v>7.4547520595842805E-3</v>
      </c>
    </row>
    <row r="113" spans="1:6" x14ac:dyDescent="0.25">
      <c r="A113">
        <f t="shared" si="39"/>
        <v>20214</v>
      </c>
      <c r="B113">
        <f>PIB!G105</f>
        <v>-6.2486243315561296E-2</v>
      </c>
      <c r="C113">
        <f>INV!G105</f>
        <v>-4.3157777199485103E-2</v>
      </c>
      <c r="D113">
        <f>'balança comercial_bens'!E109</f>
        <v>9.4172007597510751E-3</v>
      </c>
      <c r="E113">
        <f>logRus!G117</f>
        <v>-5.9504931759274758E-2</v>
      </c>
      <c r="F113">
        <f>Brazil_interest!J113</f>
        <v>4.5895891756366439E-3</v>
      </c>
    </row>
    <row r="114" spans="1:6" x14ac:dyDescent="0.25">
      <c r="A114">
        <f t="shared" ref="A114" si="40">A110+10</f>
        <v>20221</v>
      </c>
      <c r="B114">
        <f>PIB!G106</f>
        <v>-6.1171078175402016E-2</v>
      </c>
      <c r="C114">
        <f>INV!G106</f>
        <v>-6.6537302442388757E-2</v>
      </c>
      <c r="D114">
        <f>'balança comercial_bens'!E110</f>
        <v>2.9595868131533982E-2</v>
      </c>
      <c r="E114">
        <f>logRus!G118</f>
        <v>-6.3145025264586582E-2</v>
      </c>
      <c r="F114">
        <f>Brazil_interest!J114</f>
        <v>6.021887891669693E-3</v>
      </c>
    </row>
    <row r="115" spans="1:6" x14ac:dyDescent="0.25">
      <c r="A115">
        <f t="shared" ref="A115:A117" si="41">A114+1</f>
        <v>20222</v>
      </c>
      <c r="B115">
        <f>PIB!G107</f>
        <v>-5.5390426618256328E-2</v>
      </c>
      <c r="C115">
        <f>INV!G107</f>
        <v>-3.8893062449899318E-2</v>
      </c>
      <c r="D115">
        <f>'balança comercial_bens'!E111</f>
        <v>3.2233440022724637E-2</v>
      </c>
      <c r="E115">
        <f>logRus!G119</f>
        <v>-5.9424935650335867E-2</v>
      </c>
      <c r="F115">
        <f>Brazil_interest!J115</f>
        <v>9.1743637316761377E-3</v>
      </c>
    </row>
    <row r="116" spans="1:6" x14ac:dyDescent="0.25">
      <c r="A116">
        <f t="shared" si="41"/>
        <v>20223</v>
      </c>
      <c r="B116">
        <f>PIB!G108</f>
        <v>-5.0404459096609955E-2</v>
      </c>
      <c r="C116">
        <f>INV!G108</f>
        <v>-1.3728337989486583E-2</v>
      </c>
      <c r="D116">
        <f>'balança comercial_bens'!E112</f>
        <v>1.8119736320872819E-2</v>
      </c>
      <c r="E116">
        <f>logRus!G120</f>
        <v>-3.9309397638270953E-2</v>
      </c>
      <c r="F116">
        <f>Brazil_interest!J116</f>
        <v>1.2052598909155766E-2</v>
      </c>
    </row>
    <row r="117" spans="1:6" x14ac:dyDescent="0.25">
      <c r="A117">
        <f t="shared" si="41"/>
        <v>20224</v>
      </c>
      <c r="B117">
        <f>PIB!G109</f>
        <v>-5.1663931250133466E-2</v>
      </c>
      <c r="C117">
        <f>INV!G109</f>
        <v>-3.0753127071702302E-2</v>
      </c>
      <c r="D117">
        <f>'balança comercial_bens'!E113</f>
        <v>2.4849120008144831E-2</v>
      </c>
      <c r="E117">
        <f>logRus!G121</f>
        <v>-2.0275503132400122E-2</v>
      </c>
      <c r="F117">
        <f>Brazil_interest!J117</f>
        <v>1.6208701293331556E-2</v>
      </c>
    </row>
    <row r="118" spans="1:6" x14ac:dyDescent="0.25">
      <c r="A118">
        <f t="shared" ref="A118" si="42">A114+10</f>
        <v>20231</v>
      </c>
      <c r="B118">
        <f>PIB!G110</f>
        <v>-4.387289524373994E-2</v>
      </c>
      <c r="C118">
        <f>INV!G110</f>
        <v>-7.3469495862773293E-2</v>
      </c>
      <c r="D118">
        <f>'balança comercial_bens'!E114</f>
        <v>3.6618410592336184E-2</v>
      </c>
      <c r="E118">
        <f>logRus!G122</f>
        <v>-4.4394297973082367E-3</v>
      </c>
      <c r="F118">
        <f>Brazil_interest!J118</f>
        <v>1.9433040893745139E-2</v>
      </c>
    </row>
    <row r="119" spans="1:6" x14ac:dyDescent="0.25">
      <c r="A119">
        <f t="shared" ref="A119:A121" si="43">A118+1</f>
        <v>20232</v>
      </c>
      <c r="B119">
        <f>PIB!G111</f>
        <v>-4.1671681889489776E-2</v>
      </c>
      <c r="C119">
        <f>INV!G111</f>
        <v>-7.5909795709364403E-2</v>
      </c>
      <c r="D119">
        <f>'balança comercial_bens'!E115</f>
        <v>4.3741198456005138E-2</v>
      </c>
      <c r="E119">
        <f>logRus!G123</f>
        <v>1.8777690513019068E-2</v>
      </c>
      <c r="F119">
        <f>Brazil_interest!J119</f>
        <v>2.3943632421578015E-2</v>
      </c>
    </row>
    <row r="120" spans="1:6" x14ac:dyDescent="0.25">
      <c r="A120">
        <f t="shared" si="43"/>
        <v>20233</v>
      </c>
      <c r="B120">
        <f>PIB!G112</f>
        <v>-4.5907616136195983E-2</v>
      </c>
      <c r="C120">
        <f>INV!G112</f>
        <v>-0.10665720636985832</v>
      </c>
      <c r="D120">
        <f>'balança comercial_bens'!E116</f>
        <v>4.0991823184670692E-2</v>
      </c>
      <c r="E120">
        <f>logRus!G124</f>
        <v>2.3413743929005346E-2</v>
      </c>
      <c r="F120">
        <f>Brazil_interest!J120</f>
        <v>2.1149267790728503E-2</v>
      </c>
    </row>
    <row r="121" spans="1:6" x14ac:dyDescent="0.25">
      <c r="A121">
        <f t="shared" si="43"/>
        <v>20234</v>
      </c>
      <c r="B121">
        <f>PIB!G113</f>
        <v>-4.7603396602254655E-2</v>
      </c>
      <c r="C121">
        <f>INV!G113</f>
        <v>-9.3547625585784111E-2</v>
      </c>
      <c r="D121">
        <f>'balança comercial_bens'!E117</f>
        <v>4.5689585870628616E-2</v>
      </c>
      <c r="E121">
        <f>logRus!G125</f>
        <v>2.7625785066822818E-2</v>
      </c>
      <c r="F121">
        <f>Brazil_interest!J121</f>
        <v>2.2134865637183636E-2</v>
      </c>
    </row>
    <row r="122" spans="1:6" x14ac:dyDescent="0.25">
      <c r="A122">
        <f t="shared" ref="A122" si="44">A118+10</f>
        <v>20241</v>
      </c>
      <c r="B122">
        <f>PIB!G114</f>
        <v>-4.6358878400239334E-2</v>
      </c>
      <c r="C122">
        <f>INV!G114</f>
        <v>-6.9257735378479346E-2</v>
      </c>
      <c r="D122">
        <f>'balança comercial_bens'!E118</f>
        <v>3.6624581533482387E-2</v>
      </c>
      <c r="E122">
        <f>logRus!G126</f>
        <v>2.9519470675603367E-2</v>
      </c>
      <c r="F122">
        <f>Brazil_interest!J122</f>
        <v>2.2569300670386275E-2</v>
      </c>
    </row>
    <row r="123" spans="1:6" x14ac:dyDescent="0.25">
      <c r="A123">
        <f t="shared" ref="A123:A125" si="45">A122+1</f>
        <v>20242</v>
      </c>
      <c r="B123">
        <f>PIB!G115</f>
        <v>-3.5297309211609118E-2</v>
      </c>
      <c r="C123">
        <f>INV!G115</f>
        <v>-4.6440923284349012E-2</v>
      </c>
      <c r="D123">
        <f>'balança comercial_bens'!E119</f>
        <v>3.0758821006093555E-2</v>
      </c>
      <c r="E123">
        <f>logRus!G127</f>
        <v>2.8185177583920768E-2</v>
      </c>
      <c r="F123">
        <f>Brazil_interest!J123</f>
        <v>2.2054894383831472E-2</v>
      </c>
    </row>
    <row r="124" spans="1:6" x14ac:dyDescent="0.25">
      <c r="A124">
        <f t="shared" si="45"/>
        <v>20243</v>
      </c>
      <c r="B124">
        <f>PIB!G116</f>
        <v>-3.1853065397666747E-2</v>
      </c>
      <c r="C124">
        <f>INV!G116</f>
        <v>-3.1836227703012199E-2</v>
      </c>
      <c r="D124">
        <f>'balança comercial_bens'!E120</f>
        <v>2.5131333351913612E-2</v>
      </c>
      <c r="E124">
        <f>logRus!G128</f>
        <v>2.5761760413485137E-2</v>
      </c>
      <c r="F124">
        <f>Brazil_interest!J124</f>
        <v>2.3502472983093096E-2</v>
      </c>
    </row>
    <row r="125" spans="1:6" x14ac:dyDescent="0.25">
      <c r="A125">
        <f t="shared" si="45"/>
        <v>20244</v>
      </c>
      <c r="B125">
        <f>PIB!G117</f>
        <v>-3.6450321624940329E-2</v>
      </c>
      <c r="C125">
        <f>INV!G117</f>
        <v>-2.1925584193357217E-2</v>
      </c>
      <c r="D125">
        <f>'balança comercial_bens'!E121</f>
        <v>2.7615583119778592E-2</v>
      </c>
      <c r="E125">
        <f>logRus!G129</f>
        <v>1.8789296833867739E-2</v>
      </c>
      <c r="F125">
        <f>Brazil_interest!J125</f>
        <v>2.1767091593877162E-2</v>
      </c>
    </row>
    <row r="126" spans="1:6" x14ac:dyDescent="0.25">
      <c r="A126">
        <f t="shared" ref="A126" si="46">A122+10</f>
        <v>20251</v>
      </c>
      <c r="B126">
        <f>PIB!G118</f>
        <v>-2.9373057785097245E-2</v>
      </c>
      <c r="C126">
        <f>INV!G118</f>
        <v>-4.6274074480443517E-3</v>
      </c>
      <c r="D126">
        <f>'balança comercial_bens'!E122</f>
        <v>2.1850555323419306E-2</v>
      </c>
      <c r="E126">
        <f>logRus!G130</f>
        <v>1.6522938334484559E-2</v>
      </c>
      <c r="F126">
        <f>Brazil_interest!J126</f>
        <v>2.2162045955250356E-2</v>
      </c>
    </row>
    <row r="127" spans="1:6" x14ac:dyDescent="0.25">
      <c r="A127">
        <f t="shared" ref="A127:A129" si="47">A126+1</f>
        <v>20252</v>
      </c>
      <c r="B127">
        <f>PIB!G119</f>
        <v>-3.151205964527648E-2</v>
      </c>
      <c r="C127">
        <f>INV!G119</f>
        <v>-2.7929411399543191E-2</v>
      </c>
      <c r="D127">
        <f>'balança comercial_bens'!E123</f>
        <v>2.6489294296183394E-2</v>
      </c>
      <c r="E127">
        <f>logRus!G131</f>
        <v>1.8620777889481094E-2</v>
      </c>
      <c r="F127">
        <f>Brazil_interest!J127</f>
        <v>2.0472638495448076E-2</v>
      </c>
    </row>
    <row r="128" spans="1:6" x14ac:dyDescent="0.25">
      <c r="A128">
        <f t="shared" si="47"/>
        <v>20253</v>
      </c>
      <c r="B128">
        <f>PIB!G120</f>
        <v>-3.6073761123367909E-2</v>
      </c>
      <c r="C128">
        <f>INV!G120</f>
        <v>-3.0773189909403698E-2</v>
      </c>
      <c r="D128">
        <f>'balança comercial_bens'!E124</f>
        <v>2.0943499041845892E-2</v>
      </c>
      <c r="E128">
        <f>logRus!G132</f>
        <v>1.1261871421912626E-2</v>
      </c>
      <c r="F128">
        <f>Brazil_interest!J128</f>
        <v>1.893918497022621E-2</v>
      </c>
    </row>
    <row r="129" spans="1:6" x14ac:dyDescent="0.25">
      <c r="A129">
        <f t="shared" si="47"/>
        <v>20254</v>
      </c>
      <c r="B129">
        <f>PIB!G121</f>
        <v>-3.9046956366076913E-2</v>
      </c>
      <c r="C129">
        <f>INV!G121</f>
        <v>-7.0868687975097266E-2</v>
      </c>
      <c r="D129">
        <f>'balança comercial_bens'!E125</f>
        <v>3.4138000960074064E-2</v>
      </c>
      <c r="E129">
        <f>logRus!G133</f>
        <v>7.7711618827516317E-3</v>
      </c>
      <c r="F129">
        <f>Brazil_interest!J129</f>
        <v>1.9836395159949234E-2</v>
      </c>
    </row>
    <row r="130" spans="1:6" x14ac:dyDescent="0.25">
      <c r="A130">
        <f t="shared" ref="A130" si="48">A126+10</f>
        <v>20261</v>
      </c>
      <c r="B130">
        <f>PIB!G122</f>
        <v>-3.363035850598628E-2</v>
      </c>
      <c r="C130">
        <f>INV!G122</f>
        <v>-4.1473323134777473E-2</v>
      </c>
      <c r="D130">
        <f>'balança comercial_bens'!E126</f>
        <v>2.6710436173343656E-2</v>
      </c>
      <c r="E130">
        <f>logRus!G134</f>
        <v>4.4099427881063901E-3</v>
      </c>
      <c r="F130">
        <f>Brazil_interest!J130</f>
        <v>1.834481343689149E-2</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83DAB-EBEB-43FC-8E88-28B9D1FE8FC2}">
  <sheetPr>
    <tabColor rgb="FFFFFF00"/>
  </sheetPr>
  <dimension ref="A1:F130"/>
  <sheetViews>
    <sheetView tabSelected="1" workbookViewId="0">
      <selection activeCell="H5" sqref="H5"/>
    </sheetView>
  </sheetViews>
  <sheetFormatPr defaultRowHeight="15" x14ac:dyDescent="0.25"/>
  <cols>
    <col min="1" max="6" width="9.140625" style="3"/>
  </cols>
  <sheetData>
    <row r="1" spans="1:6" x14ac:dyDescent="0.25">
      <c r="A1" s="3" t="s">
        <v>1</v>
      </c>
      <c r="B1" s="3" t="s">
        <v>2</v>
      </c>
      <c r="C1" s="3" t="s">
        <v>3</v>
      </c>
      <c r="D1" s="3" t="s">
        <v>4</v>
      </c>
      <c r="E1" s="3" t="s">
        <v>5</v>
      </c>
      <c r="F1" s="3" t="s">
        <v>6</v>
      </c>
    </row>
    <row r="2" spans="1:6" x14ac:dyDescent="0.25">
      <c r="A2" s="3">
        <v>19941</v>
      </c>
      <c r="E2" s="3">
        <v>1.3200218559034443E-2</v>
      </c>
      <c r="F2" s="3">
        <v>0.1302965172527841</v>
      </c>
    </row>
    <row r="3" spans="1:6" x14ac:dyDescent="0.25">
      <c r="A3" s="3">
        <v>19942</v>
      </c>
      <c r="E3" s="3">
        <v>2.0667611635574644E-2</v>
      </c>
      <c r="F3" s="3">
        <v>0.13688330000000001</v>
      </c>
    </row>
    <row r="4" spans="1:6" x14ac:dyDescent="0.25">
      <c r="A4" s="3">
        <v>19943</v>
      </c>
      <c r="E4" s="3">
        <v>2.5664051663820339E-2</v>
      </c>
      <c r="F4" s="3">
        <v>0.1019278</v>
      </c>
    </row>
    <row r="5" spans="1:6" x14ac:dyDescent="0.25">
      <c r="A5" s="3">
        <v>19944</v>
      </c>
      <c r="E5" s="3">
        <v>3.5286469924333548E-2</v>
      </c>
      <c r="F5" s="3">
        <v>0.1291245</v>
      </c>
    </row>
    <row r="6" spans="1:6" x14ac:dyDescent="0.25">
      <c r="A6" s="3">
        <v>19951</v>
      </c>
      <c r="E6" s="3">
        <v>3.6067621536369956E-2</v>
      </c>
      <c r="F6" s="3">
        <v>0.17417879999999999</v>
      </c>
    </row>
    <row r="7" spans="1:6" x14ac:dyDescent="0.25">
      <c r="A7" s="3">
        <v>19952</v>
      </c>
      <c r="E7" s="3">
        <v>3.353997047859382E-2</v>
      </c>
      <c r="F7" s="3">
        <v>0.140343</v>
      </c>
    </row>
    <row r="8" spans="1:6" x14ac:dyDescent="0.25">
      <c r="A8" s="3">
        <v>19953</v>
      </c>
      <c r="E8" s="3">
        <v>3.235500618176048E-2</v>
      </c>
      <c r="F8" s="3">
        <v>0.13083810000000001</v>
      </c>
    </row>
    <row r="9" spans="1:6" x14ac:dyDescent="0.25">
      <c r="A9" s="3">
        <v>19954</v>
      </c>
      <c r="E9" s="3">
        <v>3.1628383883764703E-2</v>
      </c>
      <c r="F9" s="3">
        <v>0.11931849999999999</v>
      </c>
    </row>
    <row r="10" spans="1:6" x14ac:dyDescent="0.25">
      <c r="A10" s="3">
        <v>19961</v>
      </c>
      <c r="B10" s="3">
        <v>-5.4735166461799878E-2</v>
      </c>
      <c r="C10" s="3">
        <v>-5.1711440986014878E-2</v>
      </c>
      <c r="D10" s="3">
        <v>3.8486535568896681E-3</v>
      </c>
      <c r="E10" s="3">
        <v>3.0429713759487879E-2</v>
      </c>
      <c r="F10" s="3">
        <v>0.1139008</v>
      </c>
    </row>
    <row r="11" spans="1:6" x14ac:dyDescent="0.25">
      <c r="A11" s="3">
        <v>19962</v>
      </c>
      <c r="B11" s="3">
        <v>-4.8373709430625134E-2</v>
      </c>
      <c r="C11" s="3">
        <v>-3.7742761330489927E-2</v>
      </c>
      <c r="D11" s="3">
        <v>-7.2933027059735285E-3</v>
      </c>
      <c r="E11" s="3">
        <v>3.2328428272089219E-2</v>
      </c>
      <c r="F11" s="3">
        <v>0.1050886</v>
      </c>
    </row>
    <row r="12" spans="1:6" x14ac:dyDescent="0.25">
      <c r="A12" s="3">
        <v>19963</v>
      </c>
      <c r="B12" s="3">
        <v>-1.7696820818793313E-2</v>
      </c>
      <c r="C12" s="3">
        <v>-6.1021023773530914E-3</v>
      </c>
      <c r="D12" s="3">
        <v>-9.713411743912187E-3</v>
      </c>
      <c r="E12" s="3">
        <v>3.4068247364319786E-2</v>
      </c>
      <c r="F12" s="3">
        <v>8.4835400000000005E-2</v>
      </c>
    </row>
    <row r="13" spans="1:6" x14ac:dyDescent="0.25">
      <c r="A13" s="3">
        <v>19964</v>
      </c>
      <c r="B13" s="3">
        <v>-3.2771175689443766E-2</v>
      </c>
      <c r="C13" s="3">
        <v>3.0526729902928373E-2</v>
      </c>
      <c r="D13" s="3">
        <v>-1.7304246539203594E-2</v>
      </c>
      <c r="E13" s="3">
        <v>3.164203494304195E-2</v>
      </c>
      <c r="F13" s="3">
        <v>8.3836599999999997E-2</v>
      </c>
    </row>
    <row r="14" spans="1:6" x14ac:dyDescent="0.25">
      <c r="A14" s="3">
        <v>19971</v>
      </c>
      <c r="B14" s="3">
        <v>-2.7623241836034929E-2</v>
      </c>
      <c r="C14" s="3">
        <v>3.3762506022892325E-2</v>
      </c>
      <c r="D14" s="3">
        <v>2.2336593413532328E-3</v>
      </c>
      <c r="E14" s="3">
        <v>3.2776733594188139E-2</v>
      </c>
      <c r="F14" s="3">
        <v>8.2451300000000005E-2</v>
      </c>
    </row>
    <row r="15" spans="1:6" x14ac:dyDescent="0.25">
      <c r="A15" s="3">
        <v>19972</v>
      </c>
      <c r="B15" s="3">
        <v>-2.8384859568082454E-2</v>
      </c>
      <c r="C15" s="3">
        <v>4.2622256732866681E-2</v>
      </c>
      <c r="D15" s="3">
        <v>-1.3911989900680474E-2</v>
      </c>
      <c r="E15" s="3">
        <v>3.2925560417302595E-2</v>
      </c>
      <c r="F15" s="3">
        <v>7.3363399999999995E-2</v>
      </c>
    </row>
    <row r="16" spans="1:6" x14ac:dyDescent="0.25">
      <c r="A16" s="3">
        <v>19973</v>
      </c>
      <c r="B16" s="3">
        <v>-2.1233383763708424E-2</v>
      </c>
      <c r="C16" s="3">
        <v>5.6872329473010019E-2</v>
      </c>
      <c r="D16" s="3">
        <v>-1.139005539905486E-2</v>
      </c>
      <c r="E16" s="3">
        <v>3.1932465983198412E-2</v>
      </c>
      <c r="F16" s="3">
        <v>7.0102300000000006E-2</v>
      </c>
    </row>
    <row r="17" spans="1:6" x14ac:dyDescent="0.25">
      <c r="A17" s="3">
        <v>19974</v>
      </c>
      <c r="B17" s="3">
        <v>-1.8431452882313515E-2</v>
      </c>
      <c r="C17" s="3">
        <v>4.5136800927398468E-2</v>
      </c>
      <c r="D17" s="3">
        <v>-1.1685763108098324E-2</v>
      </c>
      <c r="E17" s="3">
        <v>3.6029587955556698E-2</v>
      </c>
      <c r="F17" s="3">
        <v>8.6091699999999993E-2</v>
      </c>
    </row>
    <row r="18" spans="1:6" x14ac:dyDescent="0.25">
      <c r="A18" s="3">
        <v>19981</v>
      </c>
      <c r="B18" s="3">
        <v>-4.3951355974590101E-2</v>
      </c>
      <c r="C18" s="3">
        <v>4.5389159139573643E-2</v>
      </c>
      <c r="D18" s="3">
        <v>-2.9077691733204718E-3</v>
      </c>
      <c r="E18" s="3">
        <v>3.922420619048634E-2</v>
      </c>
      <c r="F18" s="3">
        <v>8.3291699999999996E-2</v>
      </c>
    </row>
    <row r="19" spans="1:6" x14ac:dyDescent="0.25">
      <c r="A19" s="3">
        <v>19982</v>
      </c>
      <c r="B19" s="3">
        <v>-3.2404692614384167E-2</v>
      </c>
      <c r="C19" s="3">
        <v>4.3911651964696929E-2</v>
      </c>
      <c r="D19" s="3">
        <v>-7.7125933330520141E-3</v>
      </c>
      <c r="E19" s="3">
        <v>3.8471198350548685E-2</v>
      </c>
      <c r="F19" s="3">
        <v>0.1073378</v>
      </c>
    </row>
    <row r="20" spans="1:6" x14ac:dyDescent="0.25">
      <c r="A20" s="3">
        <v>19983</v>
      </c>
      <c r="B20" s="3">
        <v>-3.8317207688345789E-2</v>
      </c>
      <c r="C20" s="3">
        <v>2.5769351944567198E-2</v>
      </c>
      <c r="D20" s="3">
        <v>-1.2213056572664546E-2</v>
      </c>
      <c r="E20" s="3">
        <v>3.4976429555677341E-2</v>
      </c>
      <c r="F20" s="3">
        <v>0.1681124</v>
      </c>
    </row>
    <row r="21" spans="1:6" x14ac:dyDescent="0.25">
      <c r="A21" s="3">
        <v>19984</v>
      </c>
      <c r="B21" s="3">
        <v>-5.5343181381936724E-2</v>
      </c>
      <c r="C21" s="3">
        <v>-2.545009050175473E-2</v>
      </c>
      <c r="D21" s="3">
        <v>-1.2502646469383023E-2</v>
      </c>
      <c r="E21" s="3">
        <v>3.31952652203856E-2</v>
      </c>
      <c r="F21" s="3">
        <v>0.14894560000000001</v>
      </c>
    </row>
    <row r="22" spans="1:6" x14ac:dyDescent="0.25">
      <c r="A22" s="3">
        <v>19991</v>
      </c>
      <c r="B22" s="3">
        <v>-5.9083473972935785E-2</v>
      </c>
      <c r="C22" s="3">
        <v>-6.6897745217837645E-2</v>
      </c>
      <c r="D22" s="3">
        <v>-2.5677652928011215E-4</v>
      </c>
      <c r="E22" s="3">
        <v>3.2052182446571272E-2</v>
      </c>
      <c r="F22" s="3">
        <v>0.13006880000000001</v>
      </c>
    </row>
    <row r="23" spans="1:6" x14ac:dyDescent="0.25">
      <c r="A23" s="3">
        <v>19992</v>
      </c>
      <c r="B23" s="3">
        <v>-5.9341519944986487E-2</v>
      </c>
      <c r="C23" s="3">
        <v>-8.4350835176467243E-2</v>
      </c>
      <c r="D23" s="3">
        <v>-7.160427710015487E-3</v>
      </c>
      <c r="E23" s="3">
        <v>3.2063058999885569E-2</v>
      </c>
      <c r="F23" s="3">
        <v>0.1304864</v>
      </c>
    </row>
    <row r="24" spans="1:6" x14ac:dyDescent="0.25">
      <c r="A24" s="3">
        <v>19993</v>
      </c>
      <c r="B24" s="3">
        <v>-6.4879608355396634E-2</v>
      </c>
      <c r="C24" s="3">
        <v>-0.1131314276443165</v>
      </c>
      <c r="D24" s="3">
        <v>-4.8268409959559755E-3</v>
      </c>
      <c r="E24" s="3">
        <v>3.3717187452836084E-2</v>
      </c>
      <c r="F24" s="3">
        <v>0.1345713</v>
      </c>
    </row>
    <row r="25" spans="1:6" x14ac:dyDescent="0.25">
      <c r="A25" s="3">
        <v>19994</v>
      </c>
      <c r="B25" s="3">
        <v>-5.6317832006832269E-2</v>
      </c>
      <c r="C25" s="3">
        <v>-9.8263933367024769E-2</v>
      </c>
      <c r="D25" s="3">
        <v>-1.7771244504503516E-3</v>
      </c>
      <c r="E25" s="3">
        <v>3.6137613292121236E-2</v>
      </c>
      <c r="F25" s="3">
        <v>9.9335900000000005E-2</v>
      </c>
    </row>
    <row r="26" spans="1:6" x14ac:dyDescent="0.25">
      <c r="A26" s="3">
        <v>20001</v>
      </c>
      <c r="B26" s="3">
        <v>-5.1432914097455651E-2</v>
      </c>
      <c r="C26" s="3">
        <v>-9.623787118023408E-2</v>
      </c>
      <c r="D26" s="3">
        <v>6.0456256961160439E-3</v>
      </c>
      <c r="E26" s="3">
        <v>3.7475364033453563E-2</v>
      </c>
      <c r="F26" s="3">
        <v>0.1111949</v>
      </c>
    </row>
    <row r="27" spans="1:6" x14ac:dyDescent="0.25">
      <c r="A27" s="3">
        <v>20002</v>
      </c>
      <c r="B27" s="3">
        <v>-4.2848404339953738E-2</v>
      </c>
      <c r="C27" s="3">
        <v>-6.1540089368948614E-2</v>
      </c>
      <c r="D27" s="3">
        <v>-3.079798548067073E-3</v>
      </c>
      <c r="E27" s="3">
        <v>3.505460400017843E-2</v>
      </c>
      <c r="F27" s="3">
        <v>0.10798679999999999</v>
      </c>
    </row>
    <row r="28" spans="1:6" x14ac:dyDescent="0.25">
      <c r="A28" s="3">
        <v>20003</v>
      </c>
      <c r="B28" s="3">
        <v>-3.6693609033129349E-2</v>
      </c>
      <c r="C28" s="3">
        <v>-6.650649585881574E-2</v>
      </c>
      <c r="D28" s="3">
        <v>-4.7642970514866325E-3</v>
      </c>
      <c r="E28" s="3">
        <v>3.5768505900038203E-2</v>
      </c>
      <c r="F28" s="3">
        <v>0.1121441</v>
      </c>
    </row>
    <row r="29" spans="1:6" x14ac:dyDescent="0.25">
      <c r="A29" s="3">
        <v>20004</v>
      </c>
      <c r="B29" s="3">
        <v>-3.0055392714554152E-2</v>
      </c>
      <c r="C29" s="3">
        <v>-3.6381619026805367E-2</v>
      </c>
      <c r="D29" s="3">
        <v>-8.7100261110896644E-3</v>
      </c>
      <c r="E29" s="3">
        <v>3.3659557426400623E-2</v>
      </c>
      <c r="F29" s="3">
        <v>0.1126679</v>
      </c>
    </row>
    <row r="30" spans="1:6" x14ac:dyDescent="0.25">
      <c r="A30" s="3">
        <v>20011</v>
      </c>
      <c r="B30" s="3">
        <v>-3.197811631223324E-2</v>
      </c>
      <c r="C30" s="3">
        <v>-2.4353999299848716E-2</v>
      </c>
      <c r="D30" s="3">
        <v>3.7633381195433229E-4</v>
      </c>
      <c r="E30" s="3">
        <v>2.0403535744829553E-2</v>
      </c>
      <c r="F30" s="3">
        <v>0.10011009999999999</v>
      </c>
    </row>
    <row r="31" spans="1:6" x14ac:dyDescent="0.25">
      <c r="A31" s="3">
        <v>20012</v>
      </c>
      <c r="B31" s="3">
        <v>-4.2280639357302086E-2</v>
      </c>
      <c r="C31" s="3">
        <v>-5.5494087351409149E-2</v>
      </c>
      <c r="D31" s="3">
        <v>-4.2437698766299263E-3</v>
      </c>
      <c r="E31" s="3">
        <v>1.1286791338612887E-2</v>
      </c>
      <c r="F31" s="3">
        <v>0.1009832</v>
      </c>
    </row>
    <row r="32" spans="1:6" x14ac:dyDescent="0.25">
      <c r="A32" s="3">
        <v>20013</v>
      </c>
      <c r="B32" s="3">
        <v>-5.3139304298935208E-2</v>
      </c>
      <c r="C32" s="3">
        <v>-7.489065051379562E-2</v>
      </c>
      <c r="D32" s="3">
        <v>4.6303670417419413E-3</v>
      </c>
      <c r="E32" s="3">
        <v>4.6637517626065004E-3</v>
      </c>
      <c r="F32" s="3">
        <v>0.11117829999999999</v>
      </c>
    </row>
    <row r="33" spans="1:6" x14ac:dyDescent="0.25">
      <c r="A33" s="3">
        <v>20014</v>
      </c>
      <c r="B33" s="3">
        <v>-6.1437488838994803E-2</v>
      </c>
      <c r="C33" s="3">
        <v>-0.13762284119731305</v>
      </c>
      <c r="D33" s="3">
        <v>9.7659606619462415E-3</v>
      </c>
      <c r="E33" s="3">
        <v>-2.5796958212600347E-3</v>
      </c>
      <c r="F33" s="3">
        <v>8.4045089449445484E-2</v>
      </c>
    </row>
    <row r="34" spans="1:6" x14ac:dyDescent="0.25">
      <c r="A34" s="3">
        <v>20021</v>
      </c>
      <c r="B34" s="3">
        <v>-4.249174745608908E-2</v>
      </c>
      <c r="C34" s="3">
        <v>-0.13076007661759093</v>
      </c>
      <c r="D34" s="3">
        <v>1.3969593156867546E-2</v>
      </c>
      <c r="E34" s="3">
        <v>1.937465523063731E-3</v>
      </c>
      <c r="F34" s="3">
        <v>0.10399130594552425</v>
      </c>
    </row>
    <row r="35" spans="1:6" x14ac:dyDescent="0.25">
      <c r="A35" s="3">
        <v>20022</v>
      </c>
      <c r="B35" s="3">
        <v>-4.5857150007678982E-2</v>
      </c>
      <c r="C35" s="3">
        <v>-0.11288087747007225</v>
      </c>
      <c r="D35" s="3">
        <v>3.2363348441000611E-3</v>
      </c>
      <c r="E35" s="3">
        <v>3.4667721517200349E-3</v>
      </c>
      <c r="F35" s="3">
        <v>0.18365742718386113</v>
      </c>
    </row>
    <row r="36" spans="1:6" x14ac:dyDescent="0.25">
      <c r="A36" s="3">
        <v>20023</v>
      </c>
      <c r="B36" s="3">
        <v>-3.7515106962376699E-2</v>
      </c>
      <c r="C36" s="3">
        <v>-0.10252671480811948</v>
      </c>
      <c r="D36" s="3">
        <v>3.5358237061927464E-2</v>
      </c>
      <c r="E36" s="3">
        <v>1.925658514892124E-3</v>
      </c>
      <c r="F36" s="3">
        <v>0.1677782827680365</v>
      </c>
    </row>
    <row r="37" spans="1:6" x14ac:dyDescent="0.25">
      <c r="A37" s="3">
        <v>20024</v>
      </c>
      <c r="B37" s="3">
        <v>-3.2831641301248382E-2</v>
      </c>
      <c r="C37" s="3">
        <v>-8.6624814090050961E-2</v>
      </c>
      <c r="D37" s="3">
        <v>3.9843277539861305E-2</v>
      </c>
      <c r="E37" s="3">
        <v>-5.1657954588887256E-3</v>
      </c>
      <c r="F37" s="3">
        <v>0.11920451471939744</v>
      </c>
    </row>
    <row r="38" spans="1:6" x14ac:dyDescent="0.25">
      <c r="A38" s="3">
        <v>20031</v>
      </c>
      <c r="B38" s="3">
        <v>-4.2871372341528158E-2</v>
      </c>
      <c r="C38" s="3">
        <v>-0.12181284609155707</v>
      </c>
      <c r="D38" s="3">
        <v>3.8559469222383444E-2</v>
      </c>
      <c r="E38" s="3">
        <v>-7.4965142696228728E-3</v>
      </c>
      <c r="F38" s="3">
        <v>7.6964507909510455E-2</v>
      </c>
    </row>
    <row r="39" spans="1:6" x14ac:dyDescent="0.25">
      <c r="A39" s="3">
        <v>20032</v>
      </c>
      <c r="B39" s="3">
        <v>-5.6872858139357163E-2</v>
      </c>
      <c r="C39" s="3">
        <v>-0.1991112178688299</v>
      </c>
      <c r="D39" s="3">
        <v>3.8750535699810282E-2</v>
      </c>
      <c r="E39" s="3">
        <v>-9.6020533285504379E-3</v>
      </c>
      <c r="F39" s="3">
        <v>7.1629936847221465E-2</v>
      </c>
    </row>
    <row r="40" spans="1:6" x14ac:dyDescent="0.25">
      <c r="A40" s="3">
        <v>20033</v>
      </c>
      <c r="B40" s="3">
        <v>-5.3011578024033668E-2</v>
      </c>
      <c r="C40" s="3">
        <v>-0.19759341513952577</v>
      </c>
      <c r="D40" s="3">
        <v>4.4867919631725664E-2</v>
      </c>
      <c r="E40" s="3">
        <v>-1.0329787106222538E-2</v>
      </c>
      <c r="F40" s="3">
        <v>5.4041380214113768E-2</v>
      </c>
    </row>
    <row r="41" spans="1:6" x14ac:dyDescent="0.25">
      <c r="A41" s="3">
        <v>20034</v>
      </c>
      <c r="B41" s="3">
        <v>-4.8143040938355419E-2</v>
      </c>
      <c r="C41" s="3">
        <v>-0.15869969572205633</v>
      </c>
      <c r="D41" s="3">
        <v>4.3941463492861099E-2</v>
      </c>
      <c r="E41" s="3">
        <v>-1.1114890723402875E-2</v>
      </c>
      <c r="F41" s="3">
        <v>5.0541763311540033E-2</v>
      </c>
    </row>
    <row r="42" spans="1:6" x14ac:dyDescent="0.25">
      <c r="A42" s="3">
        <v>20041</v>
      </c>
      <c r="B42" s="3">
        <v>-4.0055004205428624E-2</v>
      </c>
      <c r="C42" s="3">
        <v>-0.13233190198565215</v>
      </c>
      <c r="D42" s="3">
        <v>4.5651018298607605E-2</v>
      </c>
      <c r="E42" s="3">
        <v>-1.2947135522829127E-2</v>
      </c>
      <c r="F42" s="3">
        <v>6.4462014236498166E-2</v>
      </c>
    </row>
    <row r="43" spans="1:6" x14ac:dyDescent="0.25">
      <c r="A43" s="3">
        <v>20042</v>
      </c>
      <c r="B43" s="3">
        <v>-1.840058996456051E-2</v>
      </c>
      <c r="C43" s="3">
        <v>-0.10389469931270678</v>
      </c>
      <c r="D43" s="3">
        <v>4.7191686861475894E-2</v>
      </c>
      <c r="E43" s="3">
        <v>-1.4108947083798437E-2</v>
      </c>
      <c r="F43" s="3">
        <v>5.3660892531159493E-2</v>
      </c>
    </row>
    <row r="44" spans="1:6" x14ac:dyDescent="0.25">
      <c r="A44" s="3">
        <v>20043</v>
      </c>
      <c r="B44" s="3">
        <v>-1.125283984325165E-2</v>
      </c>
      <c r="C44" s="3">
        <v>-8.8974251480591349E-2</v>
      </c>
      <c r="D44" s="3">
        <v>5.4159510540337713E-2</v>
      </c>
      <c r="E44" s="3">
        <v>-1.0890810811474411E-2</v>
      </c>
      <c r="F44" s="3">
        <v>4.6982482195526074E-2</v>
      </c>
    </row>
    <row r="45" spans="1:6" x14ac:dyDescent="0.25">
      <c r="A45" s="3">
        <v>20044</v>
      </c>
      <c r="B45" s="3">
        <v>-9.1609436937449829E-3</v>
      </c>
      <c r="C45" s="3">
        <v>-0.11091137626393355</v>
      </c>
      <c r="D45" s="3">
        <v>4.5815645221993856E-2</v>
      </c>
      <c r="E45" s="3">
        <v>-7.2407312509431901E-3</v>
      </c>
      <c r="F45" s="3">
        <v>4.8289447484062914E-2</v>
      </c>
    </row>
    <row r="46" spans="1:6" x14ac:dyDescent="0.25">
      <c r="A46" s="3">
        <v>20051</v>
      </c>
      <c r="B46" s="3">
        <v>-5.870344772257674E-3</v>
      </c>
      <c r="C46" s="3">
        <v>-0.13592999034803643</v>
      </c>
      <c r="D46" s="3">
        <v>5.0833649274794633E-2</v>
      </c>
      <c r="E46" s="3">
        <v>-2.4203023218602659E-3</v>
      </c>
      <c r="F46" s="3">
        <v>5.162977718887049E-2</v>
      </c>
    </row>
    <row r="47" spans="1:6" x14ac:dyDescent="0.25">
      <c r="A47" s="3">
        <v>20052</v>
      </c>
      <c r="B47" s="3">
        <v>-1.1022832465394927E-3</v>
      </c>
      <c r="C47" s="3">
        <v>-9.3622135588977251E-2</v>
      </c>
      <c r="D47" s="3">
        <v>4.5144810433028634E-2</v>
      </c>
      <c r="E47" s="3">
        <v>7.6734801154482526E-4</v>
      </c>
      <c r="F47" s="3">
        <v>5.2923048022879782E-2</v>
      </c>
    </row>
    <row r="48" spans="1:6" x14ac:dyDescent="0.25">
      <c r="A48" s="3">
        <v>20053</v>
      </c>
      <c r="B48" s="3">
        <v>-1.2248736567561203E-2</v>
      </c>
      <c r="C48" s="3">
        <v>-0.10431135942604719</v>
      </c>
      <c r="D48" s="3">
        <v>5.1245923134806456E-2</v>
      </c>
      <c r="E48" s="3">
        <v>2.3780678203736915E-3</v>
      </c>
      <c r="F48" s="3">
        <v>4.9684640524106191E-2</v>
      </c>
    </row>
    <row r="49" spans="1:6" x14ac:dyDescent="0.25">
      <c r="A49" s="3">
        <v>20054</v>
      </c>
      <c r="B49" s="3">
        <v>-5.2119484184824927E-3</v>
      </c>
      <c r="C49" s="3">
        <v>-0.1079489810647658</v>
      </c>
      <c r="D49" s="3">
        <v>4.8192399261258498E-2</v>
      </c>
      <c r="E49" s="3">
        <v>6.547451797771193E-3</v>
      </c>
      <c r="F49" s="3">
        <v>4.6149614396390648E-2</v>
      </c>
    </row>
    <row r="50" spans="1:6" x14ac:dyDescent="0.25">
      <c r="A50" s="3">
        <v>20061</v>
      </c>
      <c r="B50" s="3">
        <v>5.3947723192333541E-3</v>
      </c>
      <c r="C50" s="3">
        <v>-6.778501215060917E-2</v>
      </c>
      <c r="D50" s="3">
        <v>4.3297916125760123E-2</v>
      </c>
      <c r="E50" s="3">
        <v>1.3763885804036388E-2</v>
      </c>
      <c r="F50" s="3">
        <v>4.954622174646317E-2</v>
      </c>
    </row>
    <row r="51" spans="1:6" x14ac:dyDescent="0.25">
      <c r="A51" s="3">
        <v>20062</v>
      </c>
      <c r="B51" s="3">
        <v>2.8124630890919988E-3</v>
      </c>
      <c r="C51" s="3">
        <v>-7.7220357233847459E-2</v>
      </c>
      <c r="D51" s="3">
        <v>3.0245050107716158E-2</v>
      </c>
      <c r="E51" s="3">
        <v>1.5017918166557606E-2</v>
      </c>
      <c r="F51" s="3">
        <v>4.7001962182285847E-2</v>
      </c>
    </row>
    <row r="52" spans="1:6" x14ac:dyDescent="0.25">
      <c r="A52" s="3">
        <v>20063</v>
      </c>
      <c r="B52" s="3">
        <v>1.3860743138442544E-2</v>
      </c>
      <c r="C52" s="3">
        <v>-7.2990467551113269E-2</v>
      </c>
      <c r="D52" s="3">
        <v>4.7478583140135269E-2</v>
      </c>
      <c r="E52" s="3">
        <v>1.723008495317924E-2</v>
      </c>
      <c r="F52" s="3">
        <v>4.8480227149289581E-2</v>
      </c>
    </row>
    <row r="53" spans="1:6" x14ac:dyDescent="0.25">
      <c r="A53" s="3">
        <v>20064</v>
      </c>
      <c r="B53" s="3">
        <v>1.99407970302099E-2</v>
      </c>
      <c r="C53" s="3">
        <v>-4.7698050227360511E-2</v>
      </c>
      <c r="D53" s="3">
        <v>4.1460689871515771E-2</v>
      </c>
      <c r="E53" s="3">
        <v>2.2212116718202859E-2</v>
      </c>
      <c r="F53" s="3">
        <v>5.0680535473892716E-2</v>
      </c>
    </row>
    <row r="54" spans="1:6" x14ac:dyDescent="0.25">
      <c r="A54" s="3">
        <v>20071</v>
      </c>
      <c r="B54" s="3">
        <v>3.3134352110749887E-2</v>
      </c>
      <c r="C54" s="3">
        <v>-1.4782601940475537E-2</v>
      </c>
      <c r="D54" s="3">
        <v>3.5802009703801811E-2</v>
      </c>
      <c r="E54" s="3">
        <v>2.0860475882872841E-2</v>
      </c>
      <c r="F54" s="3">
        <v>4.140485658267623E-2</v>
      </c>
    </row>
    <row r="55" spans="1:6" x14ac:dyDescent="0.25">
      <c r="A55" s="3">
        <v>20072</v>
      </c>
      <c r="B55" s="3">
        <v>4.4138586569656191E-2</v>
      </c>
      <c r="C55" s="3">
        <v>2.1998074041561289E-2</v>
      </c>
      <c r="D55" s="3">
        <v>2.7450185814578018E-2</v>
      </c>
      <c r="E55" s="3">
        <v>1.9384957632965463E-2</v>
      </c>
      <c r="F55" s="3">
        <v>4.0765670544578247E-2</v>
      </c>
    </row>
    <row r="56" spans="1:6" x14ac:dyDescent="0.25">
      <c r="A56" s="3">
        <v>20073</v>
      </c>
      <c r="B56" s="3">
        <v>4.8916423740673842E-2</v>
      </c>
      <c r="C56" s="3">
        <v>3.5900302573265819E-2</v>
      </c>
      <c r="D56" s="3">
        <v>2.4806309625147072E-2</v>
      </c>
      <c r="E56" s="3">
        <v>1.3709907936891081E-2</v>
      </c>
      <c r="F56" s="3">
        <v>3.7120518292189611E-2</v>
      </c>
    </row>
    <row r="57" spans="1:6" x14ac:dyDescent="0.25">
      <c r="A57" s="3">
        <v>20074</v>
      </c>
      <c r="B57" s="3">
        <v>5.8447687047929797E-2</v>
      </c>
      <c r="C57" s="3">
        <v>5.6452348943342834E-2</v>
      </c>
      <c r="D57" s="3">
        <v>2.3461349097782434E-2</v>
      </c>
      <c r="E57" s="3">
        <v>4.3552008789603932E-3</v>
      </c>
      <c r="F57" s="3">
        <v>2.6586483015156936E-2</v>
      </c>
    </row>
    <row r="58" spans="1:6" x14ac:dyDescent="0.25">
      <c r="A58" s="3">
        <v>20081</v>
      </c>
      <c r="B58" s="3">
        <v>6.5569737457289889E-2</v>
      </c>
      <c r="C58" s="3">
        <v>8.1594824311117975E-2</v>
      </c>
      <c r="D58" s="3">
        <v>1.3258491706056794E-2</v>
      </c>
      <c r="E58" s="3">
        <v>-7.4011637669409488E-3</v>
      </c>
      <c r="F58" s="3">
        <v>3.2831400342802811E-2</v>
      </c>
    </row>
    <row r="59" spans="1:6" x14ac:dyDescent="0.25">
      <c r="A59" s="3">
        <v>20082</v>
      </c>
      <c r="B59" s="3">
        <v>7.9799419731092947E-2</v>
      </c>
      <c r="C59" s="3">
        <v>0.13268205693470225</v>
      </c>
      <c r="D59" s="3">
        <v>1.118387584136412E-2</v>
      </c>
      <c r="E59" s="3">
        <v>7.0607568402915918E-4</v>
      </c>
      <c r="F59" s="3">
        <v>3.0426982773972794E-2</v>
      </c>
    </row>
    <row r="60" spans="1:6" x14ac:dyDescent="0.25">
      <c r="A60" s="3">
        <v>20083</v>
      </c>
      <c r="B60" s="3">
        <v>9.0616991441799577E-2</v>
      </c>
      <c r="C60" s="3">
        <v>0.17786033297286785</v>
      </c>
      <c r="D60" s="3">
        <v>1.3750272989085547E-2</v>
      </c>
      <c r="E60" s="3">
        <v>-8.6427457449481347E-3</v>
      </c>
      <c r="F60" s="3">
        <v>3.8081134113426632E-2</v>
      </c>
    </row>
    <row r="61" spans="1:6" x14ac:dyDescent="0.25">
      <c r="A61" s="3">
        <v>20084</v>
      </c>
      <c r="B61" s="3">
        <v>4.6628138709277067E-2</v>
      </c>
      <c r="C61" s="3">
        <v>8.6100796059099594E-2</v>
      </c>
      <c r="D61" s="3">
        <v>1.6335902174495504E-2</v>
      </c>
      <c r="E61" s="3">
        <v>-1.8152364451889412E-2</v>
      </c>
      <c r="F61" s="3">
        <v>3.7801729943832504E-2</v>
      </c>
    </row>
    <row r="62" spans="1:6" x14ac:dyDescent="0.25">
      <c r="A62" s="3">
        <v>20091</v>
      </c>
      <c r="B62" s="3">
        <v>2.6594041647194366E-2</v>
      </c>
      <c r="C62" s="3">
        <v>-3.6018735594724127E-2</v>
      </c>
      <c r="D62" s="3">
        <v>1.6446035722129625E-2</v>
      </c>
      <c r="E62" s="3">
        <v>-1.1758992984245657E-2</v>
      </c>
      <c r="F62" s="3">
        <v>3.0948118985598981E-2</v>
      </c>
    </row>
    <row r="63" spans="1:6" x14ac:dyDescent="0.25">
      <c r="A63" s="3">
        <v>20092</v>
      </c>
      <c r="B63" s="3">
        <v>3.9382335928691781E-2</v>
      </c>
      <c r="C63" s="3">
        <v>2.7904793316586129E-2</v>
      </c>
      <c r="D63" s="3">
        <v>2.2008001673949479E-2</v>
      </c>
      <c r="E63" s="3">
        <v>-5.6708674555023863E-3</v>
      </c>
      <c r="F63" s="3">
        <v>2.9820609704622969E-2</v>
      </c>
    </row>
    <row r="64" spans="1:6" x14ac:dyDescent="0.25">
      <c r="A64" s="3">
        <v>20093</v>
      </c>
      <c r="B64" s="3">
        <v>5.6923752260579441E-2</v>
      </c>
      <c r="C64" s="3">
        <v>0.11671769392610631</v>
      </c>
      <c r="D64" s="3">
        <v>1.2863043341452031E-2</v>
      </c>
      <c r="E64" s="3">
        <v>4.690277671041201E-5</v>
      </c>
      <c r="F64" s="3">
        <v>3.2080710617067798E-2</v>
      </c>
    </row>
    <row r="65" spans="1:6" x14ac:dyDescent="0.25">
      <c r="A65" s="3">
        <v>20094</v>
      </c>
      <c r="B65" s="3">
        <v>7.6875238269218826E-2</v>
      </c>
      <c r="C65" s="3">
        <v>0.18501226348498356</v>
      </c>
      <c r="D65" s="3">
        <v>9.598027802125193E-3</v>
      </c>
      <c r="E65" s="3">
        <v>-1.3869133917832818E-3</v>
      </c>
      <c r="F65" s="3">
        <v>3.0710884512300484E-2</v>
      </c>
    </row>
    <row r="66" spans="1:6" x14ac:dyDescent="0.25">
      <c r="A66" s="3">
        <v>20101</v>
      </c>
      <c r="B66" s="3">
        <v>9.1679016381837286E-2</v>
      </c>
      <c r="C66" s="3">
        <v>0.19918202589538758</v>
      </c>
      <c r="D66" s="3">
        <v>8.3420612810617446E-3</v>
      </c>
      <c r="E66" s="3">
        <v>-4.0602354827026944E-3</v>
      </c>
      <c r="F66" s="3">
        <v>3.0266504350711397E-2</v>
      </c>
    </row>
    <row r="67" spans="1:6" x14ac:dyDescent="0.25">
      <c r="A67" s="3">
        <v>20102</v>
      </c>
      <c r="B67" s="3">
        <v>9.8867854432832303E-2</v>
      </c>
      <c r="C67" s="3">
        <v>0.21404789282254999</v>
      </c>
      <c r="D67" s="3">
        <v>5.8459959432754383E-3</v>
      </c>
      <c r="E67" s="3">
        <v>-1.0885738638945264E-2</v>
      </c>
      <c r="F67" s="3">
        <v>2.5260291440069214E-2</v>
      </c>
    </row>
    <row r="68" spans="1:6" x14ac:dyDescent="0.25">
      <c r="A68" s="3">
        <v>20103</v>
      </c>
      <c r="B68" s="3">
        <v>0.10209955412519456</v>
      </c>
      <c r="C68" s="3">
        <v>0.23910949260531211</v>
      </c>
      <c r="D68" s="3">
        <v>4.7857764350881776E-3</v>
      </c>
      <c r="E68" s="3">
        <v>-1.2435424929552959E-2</v>
      </c>
      <c r="F68" s="3">
        <v>1.8069080819362343E-2</v>
      </c>
    </row>
    <row r="69" spans="1:6" x14ac:dyDescent="0.25">
      <c r="A69" s="3">
        <v>20104</v>
      </c>
      <c r="B69" s="3">
        <v>0.11074258704033646</v>
      </c>
      <c r="C69" s="3">
        <v>0.23920469857152415</v>
      </c>
      <c r="D69" s="3">
        <v>1.3239356679149133E-2</v>
      </c>
      <c r="E69" s="3">
        <v>-1.5165933690883831E-2</v>
      </c>
      <c r="F69" s="3">
        <v>1.5066374480191573E-2</v>
      </c>
    </row>
    <row r="70" spans="1:6" x14ac:dyDescent="0.25">
      <c r="A70" s="3">
        <v>20111</v>
      </c>
      <c r="B70" s="3">
        <v>0.11845943416494098</v>
      </c>
      <c r="C70" s="3">
        <v>0.25584540578713</v>
      </c>
      <c r="D70" s="3">
        <v>1.1510533111845304E-2</v>
      </c>
      <c r="E70" s="3">
        <v>-1.7804081032082877E-2</v>
      </c>
      <c r="F70" s="3">
        <v>1.3943153904493492E-2</v>
      </c>
    </row>
    <row r="71" spans="1:6" x14ac:dyDescent="0.25">
      <c r="A71" s="3">
        <v>20112</v>
      </c>
      <c r="B71" s="3">
        <v>0.12306391036453945</v>
      </c>
      <c r="C71" s="3">
        <v>0.27060201319944799</v>
      </c>
      <c r="D71" s="3">
        <v>6.9685549008820791E-3</v>
      </c>
      <c r="E71" s="3">
        <v>-2.0129754837535211E-2</v>
      </c>
      <c r="F71" s="3">
        <v>1.472919164761056E-2</v>
      </c>
    </row>
    <row r="72" spans="1:6" x14ac:dyDescent="0.25">
      <c r="A72" s="3">
        <v>20113</v>
      </c>
      <c r="B72" s="3">
        <v>0.11530085937173684</v>
      </c>
      <c r="C72" s="3">
        <v>0.27755079181897013</v>
      </c>
      <c r="D72" s="3">
        <v>1.114776951222541E-2</v>
      </c>
      <c r="E72" s="3">
        <v>-2.3393876067287447E-2</v>
      </c>
      <c r="F72" s="3">
        <v>1.5637656643080526E-2</v>
      </c>
    </row>
    <row r="73" spans="1:6" x14ac:dyDescent="0.25">
      <c r="A73" s="3">
        <v>20114</v>
      </c>
      <c r="B73" s="3">
        <v>0.11875240359750805</v>
      </c>
      <c r="C73" s="3">
        <v>0.27287887367587071</v>
      </c>
      <c r="D73" s="3">
        <v>1.1751230360097953E-2</v>
      </c>
      <c r="E73" s="3">
        <v>-1.8796228127719569E-2</v>
      </c>
      <c r="F73" s="3">
        <v>1.7037022391182516E-2</v>
      </c>
    </row>
    <row r="74" spans="1:6" x14ac:dyDescent="0.25">
      <c r="A74" s="3">
        <v>20121</v>
      </c>
      <c r="B74" s="3">
        <v>9.8912905710831112E-2</v>
      </c>
      <c r="C74" s="3">
        <v>0.26220491757876907</v>
      </c>
      <c r="D74" s="3">
        <v>1.0126037915630052E-2</v>
      </c>
      <c r="E74" s="3">
        <v>-1.8831621419907685E-2</v>
      </c>
      <c r="F74" s="3">
        <v>1.6747616608726219E-2</v>
      </c>
    </row>
    <row r="75" spans="1:6" x14ac:dyDescent="0.25">
      <c r="A75" s="3">
        <v>20122</v>
      </c>
      <c r="B75" s="3">
        <v>0.11130902117181218</v>
      </c>
      <c r="C75" s="3">
        <v>0.25964726652163694</v>
      </c>
      <c r="D75" s="3">
        <v>1.4076652383076919E-4</v>
      </c>
      <c r="E75" s="3">
        <v>-1.6256289198812265E-2</v>
      </c>
      <c r="F75" s="3">
        <v>1.6345254904003723E-2</v>
      </c>
    </row>
    <row r="76" spans="1:6" x14ac:dyDescent="0.25">
      <c r="A76" s="3">
        <v>20123</v>
      </c>
      <c r="B76" s="3">
        <v>0.12274646712525961</v>
      </c>
      <c r="C76" s="3">
        <v>0.24585198259811047</v>
      </c>
      <c r="D76" s="3">
        <v>1.0377290341270863E-2</v>
      </c>
      <c r="E76" s="3">
        <v>-1.5529690848413588E-2</v>
      </c>
      <c r="F76" s="3">
        <v>1.4467386902788384E-2</v>
      </c>
    </row>
    <row r="77" spans="1:6" x14ac:dyDescent="0.25">
      <c r="A77" s="3">
        <v>20124</v>
      </c>
      <c r="B77" s="3">
        <v>0.11755898936531928</v>
      </c>
      <c r="C77" s="3">
        <v>0.25998565367995052</v>
      </c>
      <c r="D77" s="3">
        <v>7.0381420065545389E-3</v>
      </c>
      <c r="E77" s="3">
        <v>-1.974554829397783E-2</v>
      </c>
      <c r="F77" s="3">
        <v>1.3693468695879183E-2</v>
      </c>
    </row>
    <row r="78" spans="1:6" x14ac:dyDescent="0.25">
      <c r="A78" s="3">
        <v>20131</v>
      </c>
      <c r="B78" s="3">
        <v>0.11743970518311198</v>
      </c>
      <c r="C78" s="3">
        <v>0.26632197475690855</v>
      </c>
      <c r="D78" s="3">
        <v>-1.683005720573949E-3</v>
      </c>
      <c r="E78" s="3">
        <v>-1.7656374534602087E-2</v>
      </c>
      <c r="F78" s="3">
        <v>1.5203345762074997E-2</v>
      </c>
    </row>
    <row r="79" spans="1:6" x14ac:dyDescent="0.25">
      <c r="A79" s="3">
        <v>20132</v>
      </c>
      <c r="B79" s="3">
        <v>0.12546486397044898</v>
      </c>
      <c r="C79" s="3">
        <v>0.31898112661928746</v>
      </c>
      <c r="D79" s="3">
        <v>-4.130677341602833E-3</v>
      </c>
      <c r="E79" s="3">
        <v>-1.6089782833389403E-2</v>
      </c>
      <c r="F79" s="3">
        <v>1.451513858070466E-2</v>
      </c>
    </row>
    <row r="80" spans="1:6" x14ac:dyDescent="0.25">
      <c r="A80" s="3">
        <v>20133</v>
      </c>
      <c r="B80" s="3">
        <v>0.12473062787268407</v>
      </c>
      <c r="C80" s="3">
        <v>0.29974318981852122</v>
      </c>
      <c r="D80" s="3">
        <v>-1.6676268115112182E-3</v>
      </c>
      <c r="E80" s="3">
        <v>-1.5807340976111046E-2</v>
      </c>
      <c r="F80" s="3">
        <v>1.6330254929198113E-2</v>
      </c>
    </row>
    <row r="81" spans="1:6" x14ac:dyDescent="0.25">
      <c r="A81" s="3">
        <v>20134</v>
      </c>
      <c r="B81" s="3">
        <v>0.12078870899509742</v>
      </c>
      <c r="C81" s="3">
        <v>0.28425196997279034</v>
      </c>
      <c r="D81" s="3">
        <v>8.0437532880528618E-3</v>
      </c>
      <c r="E81" s="3">
        <v>-1.5572292061202437E-2</v>
      </c>
      <c r="F81" s="3">
        <v>1.4891601374486167E-2</v>
      </c>
    </row>
    <row r="82" spans="1:6" x14ac:dyDescent="0.25">
      <c r="A82" s="3">
        <v>20141</v>
      </c>
      <c r="B82" s="3">
        <v>0.12358896550184184</v>
      </c>
      <c r="C82" s="3">
        <v>0.28246600173781733</v>
      </c>
      <c r="D82" s="3">
        <v>-3.5124719111833316E-3</v>
      </c>
      <c r="E82" s="3">
        <v>-1.5603137839948909E-2</v>
      </c>
      <c r="F82" s="3">
        <v>1.4048712893713566E-2</v>
      </c>
    </row>
    <row r="83" spans="1:6" x14ac:dyDescent="0.25">
      <c r="A83" s="3">
        <v>20142</v>
      </c>
      <c r="B83" s="3">
        <v>0.10325518238428799</v>
      </c>
      <c r="C83" s="3">
        <v>0.23240699057648406</v>
      </c>
      <c r="D83" s="3">
        <v>-2.1361798037106338E-3</v>
      </c>
      <c r="E83" s="3">
        <v>-1.9196661363645583E-2</v>
      </c>
      <c r="F83" s="3">
        <v>1.3759983861105557E-2</v>
      </c>
    </row>
    <row r="84" spans="1:6" x14ac:dyDescent="0.25">
      <c r="A84" s="3">
        <v>20143</v>
      </c>
      <c r="B84" s="3">
        <v>9.7143633698959064E-2</v>
      </c>
      <c r="C84" s="3">
        <v>0.20360982249803072</v>
      </c>
      <c r="D84" s="3">
        <v>-1.298555034569252E-3</v>
      </c>
      <c r="E84" s="3">
        <v>-1.8602676797566213E-2</v>
      </c>
      <c r="F84" s="3">
        <v>1.5063233795172057E-2</v>
      </c>
    </row>
    <row r="85" spans="1:6" x14ac:dyDescent="0.25">
      <c r="A85" s="3">
        <v>20144</v>
      </c>
      <c r="B85" s="3">
        <v>9.6811953479123858E-2</v>
      </c>
      <c r="C85" s="3">
        <v>0.19653902274304169</v>
      </c>
      <c r="D85" s="3">
        <v>-5.0771043823710739E-3</v>
      </c>
      <c r="E85" s="3">
        <v>-1.4226073626027739E-2</v>
      </c>
      <c r="F85" s="3">
        <v>1.9152139428076191E-2</v>
      </c>
    </row>
    <row r="86" spans="1:6" x14ac:dyDescent="0.25">
      <c r="A86" s="3">
        <v>20151</v>
      </c>
      <c r="B86" s="3">
        <v>8.3252738071189825E-2</v>
      </c>
      <c r="C86" s="3">
        <v>0.16037220102108574</v>
      </c>
      <c r="D86" s="3">
        <v>-4.2091761500751244E-3</v>
      </c>
      <c r="E86" s="3">
        <v>-9.891642466466866E-3</v>
      </c>
      <c r="F86" s="3">
        <v>2.0157032153963129E-2</v>
      </c>
    </row>
    <row r="87" spans="1:6" x14ac:dyDescent="0.25">
      <c r="A87" s="3">
        <v>20152</v>
      </c>
      <c r="B87" s="3">
        <v>5.396498857827936E-2</v>
      </c>
      <c r="C87" s="3">
        <v>8.3262315277414345E-2</v>
      </c>
      <c r="D87" s="3">
        <v>8.2570803003780228E-3</v>
      </c>
      <c r="E87" s="3">
        <v>-1.0073119244869321E-2</v>
      </c>
      <c r="F87" s="3">
        <v>2.4448345112012444E-2</v>
      </c>
    </row>
    <row r="88" spans="1:6" x14ac:dyDescent="0.25">
      <c r="A88" s="3">
        <v>20153</v>
      </c>
      <c r="B88" s="3">
        <v>3.179548807114152E-2</v>
      </c>
      <c r="C88" s="3">
        <v>2.0364722188698892E-2</v>
      </c>
      <c r="D88" s="3">
        <v>1.5165314125671205E-2</v>
      </c>
      <c r="E88" s="3">
        <v>-8.6245613654143682E-3</v>
      </c>
      <c r="F88" s="3">
        <v>2.5782570802387546E-2</v>
      </c>
    </row>
    <row r="89" spans="1:6" x14ac:dyDescent="0.25">
      <c r="A89" s="3">
        <v>20154</v>
      </c>
      <c r="B89" s="3">
        <v>1.8561353979116291E-2</v>
      </c>
      <c r="C89" s="3">
        <v>-3.9467021449831385E-2</v>
      </c>
      <c r="D89" s="3">
        <v>2.3813851658880478E-2</v>
      </c>
      <c r="E89" s="3">
        <v>-5.5087765798610862E-3</v>
      </c>
      <c r="F89" s="3">
        <v>2.1654334037760081E-2</v>
      </c>
    </row>
    <row r="90" spans="1:6" x14ac:dyDescent="0.25">
      <c r="A90" s="3">
        <v>20161</v>
      </c>
      <c r="B90" s="3">
        <v>-1.3847164299702897E-3</v>
      </c>
      <c r="C90" s="3">
        <v>-6.7623456688732375E-2</v>
      </c>
      <c r="D90" s="3">
        <v>2.8426766216389267E-2</v>
      </c>
      <c r="E90" s="3">
        <v>-4.4901356926088766E-3</v>
      </c>
      <c r="F90" s="3">
        <v>1.9897074728938983E-2</v>
      </c>
    </row>
    <row r="91" spans="1:6" x14ac:dyDescent="0.25">
      <c r="A91" s="3">
        <v>20162</v>
      </c>
      <c r="B91" s="3">
        <v>-4.293235980729726E-3</v>
      </c>
      <c r="C91" s="3">
        <v>-4.7883351771418781E-2</v>
      </c>
      <c r="D91" s="3">
        <v>2.5855576762335387E-2</v>
      </c>
      <c r="E91" s="3">
        <v>-5.8348763671812352E-3</v>
      </c>
      <c r="F91" s="3">
        <v>1.8584584154744479E-2</v>
      </c>
    </row>
    <row r="92" spans="1:6" x14ac:dyDescent="0.25">
      <c r="A92" s="3">
        <v>20163</v>
      </c>
      <c r="B92" s="3">
        <v>-1.5158791753972167E-2</v>
      </c>
      <c r="C92" s="3">
        <v>-0.11558519305196491</v>
      </c>
      <c r="D92" s="3">
        <v>2.1050429851742245E-2</v>
      </c>
      <c r="E92" s="3">
        <v>-5.5410394015872923E-3</v>
      </c>
      <c r="F92" s="3">
        <v>1.8238446505410323E-2</v>
      </c>
    </row>
    <row r="93" spans="1:6" x14ac:dyDescent="0.25">
      <c r="A93" s="3">
        <v>20164</v>
      </c>
      <c r="B93" s="3">
        <v>-2.1864135710827348E-2</v>
      </c>
      <c r="C93" s="3">
        <v>-0.1396701903193831</v>
      </c>
      <c r="D93" s="3">
        <v>2.3592699014608705E-2</v>
      </c>
      <c r="E93" s="3">
        <v>-8.2054978345902363E-3</v>
      </c>
      <c r="F93" s="3">
        <v>1.6458208186393462E-2</v>
      </c>
    </row>
    <row r="94" spans="1:6" x14ac:dyDescent="0.25">
      <c r="A94" s="3">
        <v>20171</v>
      </c>
      <c r="B94" s="3">
        <v>-1.7128161145051557E-2</v>
      </c>
      <c r="C94" s="3">
        <v>-0.14115979253623046</v>
      </c>
      <c r="D94" s="3">
        <v>3.3537315597546892E-2</v>
      </c>
      <c r="E94" s="3">
        <v>-1.1769348317440051E-2</v>
      </c>
      <c r="F94" s="3">
        <v>1.652210322636892E-2</v>
      </c>
    </row>
    <row r="95" spans="1:6" x14ac:dyDescent="0.25">
      <c r="A95" s="3">
        <v>20172</v>
      </c>
      <c r="B95" s="3">
        <v>-1.4305098149773876E-2</v>
      </c>
      <c r="C95" s="3">
        <v>-0.14653693094084197</v>
      </c>
      <c r="D95" s="3">
        <v>3.1028703022373753E-2</v>
      </c>
      <c r="E95" s="3">
        <v>-5.1268253764836114E-3</v>
      </c>
      <c r="F95" s="3">
        <v>1.7343519757075432E-2</v>
      </c>
    </row>
    <row r="96" spans="1:6" x14ac:dyDescent="0.25">
      <c r="A96" s="3">
        <v>20173</v>
      </c>
      <c r="B96" s="3">
        <v>-1.767346536183112E-2</v>
      </c>
      <c r="C96" s="3">
        <v>-0.14767434518758016</v>
      </c>
      <c r="D96" s="3">
        <v>2.4367171139723615E-2</v>
      </c>
      <c r="E96" s="3">
        <v>-7.2028442740659461E-3</v>
      </c>
      <c r="F96" s="3">
        <v>1.6060976706827535E-2</v>
      </c>
    </row>
    <row r="97" spans="1:6" x14ac:dyDescent="0.25">
      <c r="A97" s="3">
        <v>20174</v>
      </c>
      <c r="B97" s="3">
        <v>-1.7807757974733995E-2</v>
      </c>
      <c r="C97" s="3">
        <v>-0.12230110107709447</v>
      </c>
      <c r="D97" s="3">
        <v>2.2627029217096629E-2</v>
      </c>
      <c r="E97" s="3">
        <v>-5.6398832819833863E-3</v>
      </c>
      <c r="F97" s="3">
        <v>1.7070370244412509E-2</v>
      </c>
    </row>
    <row r="98" spans="1:6" x14ac:dyDescent="0.25">
      <c r="A98" s="3">
        <v>20181</v>
      </c>
      <c r="B98" s="3">
        <v>-1.7137612500717658E-2</v>
      </c>
      <c r="C98" s="3">
        <v>-0.12823711596324294</v>
      </c>
      <c r="D98" s="3">
        <v>2.5203023111113998E-2</v>
      </c>
      <c r="E98" s="3">
        <v>-3.0557062497857841E-3</v>
      </c>
      <c r="F98" s="3">
        <v>1.9563924407270627E-2</v>
      </c>
    </row>
    <row r="99" spans="1:6" x14ac:dyDescent="0.25">
      <c r="A99" s="3">
        <v>20182</v>
      </c>
      <c r="B99" s="3">
        <v>-2.3926184892220981E-2</v>
      </c>
      <c r="C99" s="3">
        <v>-0.12676080510102228</v>
      </c>
      <c r="D99" s="3">
        <v>2.3272123923769036E-2</v>
      </c>
      <c r="E99" s="3">
        <v>-5.4296833847204216E-3</v>
      </c>
      <c r="F99" s="3">
        <v>1.8828654609588803E-2</v>
      </c>
    </row>
    <row r="100" spans="1:6" x14ac:dyDescent="0.25">
      <c r="A100" s="3">
        <v>20183</v>
      </c>
      <c r="B100" s="3">
        <v>-1.991695376962177E-2</v>
      </c>
      <c r="C100" s="3">
        <v>-8.0375287525897399E-2</v>
      </c>
      <c r="D100" s="3">
        <v>1.5236992864385714E-2</v>
      </c>
      <c r="E100" s="3">
        <v>-2.3608941766250558E-3</v>
      </c>
      <c r="F100" s="3">
        <v>1.9022870908838266E-2</v>
      </c>
    </row>
    <row r="101" spans="1:6" x14ac:dyDescent="0.25">
      <c r="A101" s="3">
        <v>20184</v>
      </c>
      <c r="B101" s="3">
        <v>-2.79368729167917E-2</v>
      </c>
      <c r="C101" s="3">
        <v>-0.10319055924523202</v>
      </c>
      <c r="D101" s="3">
        <v>2.891299363101351E-2</v>
      </c>
      <c r="E101" s="3">
        <v>1.8239023249715452E-3</v>
      </c>
      <c r="F101" s="3">
        <v>1.9175683770376446E-2</v>
      </c>
    </row>
    <row r="102" spans="1:6" x14ac:dyDescent="0.25">
      <c r="A102" s="3">
        <v>20191</v>
      </c>
      <c r="B102" s="3">
        <v>-3.058009031314235E-2</v>
      </c>
      <c r="C102" s="3">
        <v>-0.1200432457739522</v>
      </c>
      <c r="D102" s="3">
        <v>1.8112507595423852E-2</v>
      </c>
      <c r="E102" s="3">
        <v>5.5595254191034013E-3</v>
      </c>
      <c r="F102" s="3">
        <v>1.8372842883432994E-2</v>
      </c>
    </row>
    <row r="103" spans="1:6" x14ac:dyDescent="0.25">
      <c r="A103" s="3">
        <v>20192</v>
      </c>
      <c r="B103" s="3">
        <v>-3.0294804130375219E-2</v>
      </c>
      <c r="C103" s="3">
        <v>-7.4433816206248338E-2</v>
      </c>
      <c r="D103" s="3">
        <v>1.9543389697958314E-2</v>
      </c>
      <c r="E103" s="3">
        <v>5.2002547559449617E-3</v>
      </c>
      <c r="F103" s="3">
        <v>1.789273841393119E-2</v>
      </c>
    </row>
    <row r="104" spans="1:6" x14ac:dyDescent="0.25">
      <c r="A104" s="3">
        <v>20193</v>
      </c>
      <c r="B104" s="3">
        <v>-3.5598315950453596E-2</v>
      </c>
      <c r="C104" s="3">
        <v>-5.237080002711636E-2</v>
      </c>
      <c r="D104" s="3">
        <v>6.7227186377020812E-3</v>
      </c>
      <c r="E104" s="3">
        <v>3.4928905741910526E-3</v>
      </c>
      <c r="F104" s="3">
        <v>1.6273990283224109E-2</v>
      </c>
    </row>
    <row r="105" spans="1:6" x14ac:dyDescent="0.25">
      <c r="A105" s="3">
        <v>20194</v>
      </c>
      <c r="B105" s="3">
        <v>-3.2379269759230667E-2</v>
      </c>
      <c r="C105" s="3">
        <v>-0.11643623907723732</v>
      </c>
      <c r="D105" s="3">
        <v>1.8838143123208952E-2</v>
      </c>
      <c r="E105" s="3">
        <v>1.1477482487567622E-3</v>
      </c>
      <c r="F105" s="3">
        <v>1.5881907048175565E-2</v>
      </c>
    </row>
    <row r="106" spans="1:6" x14ac:dyDescent="0.25">
      <c r="A106" s="3">
        <v>20201</v>
      </c>
      <c r="B106" s="3">
        <v>-6.1144815839873523E-2</v>
      </c>
      <c r="C106" s="3">
        <v>-7.3305035809794639E-2</v>
      </c>
      <c r="D106" s="3">
        <v>7.2242792399819398E-3</v>
      </c>
      <c r="E106" s="3">
        <v>-1.3045571152808053E-2</v>
      </c>
      <c r="F106" s="3">
        <v>1.6831844457930192E-2</v>
      </c>
    </row>
    <row r="107" spans="1:6" x14ac:dyDescent="0.25">
      <c r="A107" s="3">
        <v>20202</v>
      </c>
      <c r="B107" s="3">
        <v>-0.15963403881912264</v>
      </c>
      <c r="C107" s="3">
        <v>-0.25145091988287227</v>
      </c>
      <c r="D107" s="3">
        <v>3.7528588271720023E-2</v>
      </c>
      <c r="E107" s="3">
        <v>-5.5930848229892036E-3</v>
      </c>
      <c r="F107" s="3">
        <v>1.8365679576280575E-2</v>
      </c>
    </row>
    <row r="108" spans="1:6" x14ac:dyDescent="0.25">
      <c r="A108" s="3">
        <v>20203</v>
      </c>
      <c r="B108" s="3">
        <v>-8.8898043841074248E-2</v>
      </c>
      <c r="C108" s="3">
        <v>-0.16351794352127236</v>
      </c>
      <c r="D108" s="3">
        <v>4.4527101497352936E-2</v>
      </c>
      <c r="E108" s="3">
        <v>-1.1628833137734126E-2</v>
      </c>
      <c r="F108" s="3">
        <v>1.4589790339124198E-2</v>
      </c>
    </row>
    <row r="109" spans="1:6" x14ac:dyDescent="0.25">
      <c r="A109" s="3">
        <v>20204</v>
      </c>
      <c r="B109" s="3">
        <v>-5.6801111412704053E-2</v>
      </c>
      <c r="C109" s="3">
        <v>-3.9341229754341178E-2</v>
      </c>
      <c r="D109" s="3">
        <v>1.4289375035337504E-2</v>
      </c>
      <c r="E109" s="3">
        <v>-1.549969545213691E-2</v>
      </c>
      <c r="F109" s="3">
        <v>1.6332658367013572E-2</v>
      </c>
    </row>
    <row r="110" spans="1:6" x14ac:dyDescent="0.25">
      <c r="A110" s="3">
        <v>20211</v>
      </c>
      <c r="B110" s="3">
        <v>-5.3638448878383649E-2</v>
      </c>
      <c r="C110" s="3">
        <v>1.6352759466490063E-2</v>
      </c>
      <c r="D110" s="3">
        <v>1.4186991334183136E-3</v>
      </c>
      <c r="E110" s="3">
        <v>-2.4082235665534701E-2</v>
      </c>
      <c r="F110" s="3">
        <v>1.2199375327560026E-2</v>
      </c>
    </row>
    <row r="111" spans="1:6" x14ac:dyDescent="0.25">
      <c r="A111" s="3">
        <v>20212</v>
      </c>
      <c r="B111" s="3">
        <v>-6.6189229390926307E-2</v>
      </c>
      <c r="C111" s="3">
        <v>-3.718599593782379E-2</v>
      </c>
      <c r="D111" s="3">
        <v>5.4924304460222319E-2</v>
      </c>
      <c r="E111" s="3">
        <v>-4.3042631770147985E-2</v>
      </c>
      <c r="F111" s="3">
        <v>7.5271186004221176E-3</v>
      </c>
    </row>
    <row r="112" spans="1:6" x14ac:dyDescent="0.25">
      <c r="A112" s="3">
        <v>20213</v>
      </c>
      <c r="B112" s="3">
        <v>-7.0216304554003628E-2</v>
      </c>
      <c r="C112" s="3">
        <v>-4.3553217771637343E-2</v>
      </c>
      <c r="D112" s="3">
        <v>3.3360589593951606E-2</v>
      </c>
      <c r="E112" s="3">
        <v>-4.9231037123706835E-2</v>
      </c>
      <c r="F112" s="3">
        <v>7.4547520595842805E-3</v>
      </c>
    </row>
    <row r="113" spans="1:6" x14ac:dyDescent="0.25">
      <c r="A113" s="3">
        <v>20214</v>
      </c>
      <c r="B113" s="3">
        <v>-6.2486243315561296E-2</v>
      </c>
      <c r="C113" s="3">
        <v>-4.3157777199485103E-2</v>
      </c>
      <c r="D113" s="3">
        <v>9.4172007597510751E-3</v>
      </c>
      <c r="E113" s="3">
        <v>-5.9504931759274758E-2</v>
      </c>
      <c r="F113" s="3">
        <v>4.5895891756366439E-3</v>
      </c>
    </row>
    <row r="114" spans="1:6" x14ac:dyDescent="0.25">
      <c r="A114" s="3">
        <v>20221</v>
      </c>
      <c r="B114" s="3">
        <v>-6.1171078175402016E-2</v>
      </c>
      <c r="C114" s="3">
        <v>-6.6537302442388757E-2</v>
      </c>
      <c r="D114" s="3">
        <v>2.9595868131533982E-2</v>
      </c>
      <c r="E114" s="3">
        <v>-6.3145025264586582E-2</v>
      </c>
      <c r="F114" s="3">
        <v>6.021887891669693E-3</v>
      </c>
    </row>
    <row r="115" spans="1:6" x14ac:dyDescent="0.25">
      <c r="A115" s="3">
        <v>20222</v>
      </c>
      <c r="B115" s="3">
        <v>-5.5390426618256328E-2</v>
      </c>
      <c r="C115" s="3">
        <v>-3.8893062449899318E-2</v>
      </c>
      <c r="D115" s="3">
        <v>3.2233440022724637E-2</v>
      </c>
      <c r="E115" s="3">
        <v>-5.9424935650335867E-2</v>
      </c>
      <c r="F115" s="3">
        <v>9.1743637316761377E-3</v>
      </c>
    </row>
    <row r="116" spans="1:6" x14ac:dyDescent="0.25">
      <c r="A116" s="3">
        <v>20223</v>
      </c>
      <c r="B116" s="3">
        <v>-5.0404459096609955E-2</v>
      </c>
      <c r="C116" s="3">
        <v>-1.3728337989486583E-2</v>
      </c>
      <c r="D116" s="3">
        <v>1.8119736320872819E-2</v>
      </c>
      <c r="E116" s="3">
        <v>-3.9309397638270953E-2</v>
      </c>
      <c r="F116" s="3">
        <v>1.2052598909155766E-2</v>
      </c>
    </row>
    <row r="117" spans="1:6" x14ac:dyDescent="0.25">
      <c r="A117" s="3">
        <v>20224</v>
      </c>
      <c r="B117" s="3">
        <v>-5.1663931250133466E-2</v>
      </c>
      <c r="C117" s="3">
        <v>-3.0753127071702302E-2</v>
      </c>
      <c r="D117" s="3">
        <v>2.4849120008144831E-2</v>
      </c>
      <c r="E117" s="3">
        <v>-2.0275503132400122E-2</v>
      </c>
      <c r="F117" s="3">
        <v>1.6208701293331556E-2</v>
      </c>
    </row>
    <row r="118" spans="1:6" x14ac:dyDescent="0.25">
      <c r="A118" s="3">
        <v>20231</v>
      </c>
      <c r="B118" s="3">
        <v>-4.387289524373994E-2</v>
      </c>
      <c r="C118" s="3">
        <v>-7.3469495862773293E-2</v>
      </c>
      <c r="D118" s="3">
        <v>3.6618410592336184E-2</v>
      </c>
      <c r="E118" s="3">
        <v>-4.4394297973082367E-3</v>
      </c>
      <c r="F118" s="3">
        <v>1.9433040893745139E-2</v>
      </c>
    </row>
    <row r="119" spans="1:6" x14ac:dyDescent="0.25">
      <c r="A119" s="3">
        <v>20232</v>
      </c>
      <c r="B119" s="3">
        <v>-4.1671681889489776E-2</v>
      </c>
      <c r="C119" s="3">
        <v>-7.5909795709364403E-2</v>
      </c>
      <c r="D119" s="3">
        <v>4.3741198456005138E-2</v>
      </c>
      <c r="E119" s="3">
        <v>1.8777690513019068E-2</v>
      </c>
      <c r="F119" s="3">
        <v>2.3943632421578015E-2</v>
      </c>
    </row>
    <row r="120" spans="1:6" x14ac:dyDescent="0.25">
      <c r="A120" s="3">
        <v>20233</v>
      </c>
      <c r="B120" s="3">
        <v>-4.5907616136195983E-2</v>
      </c>
      <c r="C120" s="3">
        <v>-0.10665720636985832</v>
      </c>
      <c r="D120" s="3">
        <v>4.0991823184670692E-2</v>
      </c>
      <c r="E120" s="3">
        <v>2.3413743929005346E-2</v>
      </c>
      <c r="F120" s="3">
        <v>2.1149267790728503E-2</v>
      </c>
    </row>
    <row r="121" spans="1:6" x14ac:dyDescent="0.25">
      <c r="A121" s="3">
        <v>20234</v>
      </c>
      <c r="B121" s="3">
        <v>-4.7603396602254655E-2</v>
      </c>
      <c r="C121" s="3">
        <v>-9.3547625585784111E-2</v>
      </c>
      <c r="D121" s="3">
        <v>4.5689585870628616E-2</v>
      </c>
      <c r="E121" s="3">
        <v>2.7625785066822818E-2</v>
      </c>
      <c r="F121" s="3">
        <v>2.2134865637183636E-2</v>
      </c>
    </row>
    <row r="122" spans="1:6" x14ac:dyDescent="0.25">
      <c r="A122" s="3">
        <v>20241</v>
      </c>
      <c r="B122" s="3">
        <v>-4.6358878400239334E-2</v>
      </c>
      <c r="C122" s="3">
        <v>-6.9257735378479346E-2</v>
      </c>
      <c r="D122" s="3">
        <v>3.6624581533482387E-2</v>
      </c>
      <c r="E122" s="3">
        <v>2.9519470675603367E-2</v>
      </c>
      <c r="F122" s="3">
        <v>2.2569300670386275E-2</v>
      </c>
    </row>
    <row r="123" spans="1:6" x14ac:dyDescent="0.25">
      <c r="A123" s="3">
        <v>20242</v>
      </c>
      <c r="B123" s="3">
        <v>-3.5297309211609118E-2</v>
      </c>
      <c r="C123" s="3">
        <v>-4.6440923284349012E-2</v>
      </c>
      <c r="D123" s="3">
        <v>3.0758821006093555E-2</v>
      </c>
      <c r="E123" s="3">
        <v>2.8185177583920768E-2</v>
      </c>
      <c r="F123" s="3">
        <v>2.2054894383831472E-2</v>
      </c>
    </row>
    <row r="124" spans="1:6" x14ac:dyDescent="0.25">
      <c r="A124" s="3">
        <v>20243</v>
      </c>
      <c r="B124" s="3">
        <v>-3.1853065397666747E-2</v>
      </c>
      <c r="C124" s="3">
        <v>-3.1836227703012199E-2</v>
      </c>
      <c r="D124" s="3">
        <v>2.5131333351913612E-2</v>
      </c>
      <c r="E124" s="3">
        <v>2.5761760413485137E-2</v>
      </c>
      <c r="F124" s="3">
        <v>2.3502472983093096E-2</v>
      </c>
    </row>
    <row r="125" spans="1:6" x14ac:dyDescent="0.25">
      <c r="A125" s="3">
        <v>20244</v>
      </c>
      <c r="B125" s="3">
        <v>-3.6450321624940329E-2</v>
      </c>
      <c r="C125" s="3">
        <v>-2.1925584193357217E-2</v>
      </c>
      <c r="D125" s="3">
        <v>2.7615583119778592E-2</v>
      </c>
      <c r="E125" s="3">
        <v>1.8789296833867739E-2</v>
      </c>
      <c r="F125" s="3">
        <v>2.1767091593877162E-2</v>
      </c>
    </row>
    <row r="126" spans="1:6" x14ac:dyDescent="0.25">
      <c r="A126" s="3">
        <v>20251</v>
      </c>
      <c r="B126" s="3">
        <v>-2.9373057785097245E-2</v>
      </c>
      <c r="C126" s="3">
        <v>-4.6274074480443517E-3</v>
      </c>
      <c r="D126" s="3">
        <v>2.1850555323419306E-2</v>
      </c>
      <c r="E126" s="3">
        <v>1.6522938334484559E-2</v>
      </c>
      <c r="F126" s="3">
        <v>2.2162045955250356E-2</v>
      </c>
    </row>
    <row r="127" spans="1:6" x14ac:dyDescent="0.25">
      <c r="A127" s="3">
        <v>20252</v>
      </c>
      <c r="B127" s="3">
        <v>-3.151205964527648E-2</v>
      </c>
      <c r="C127" s="3">
        <v>-2.7929411399543191E-2</v>
      </c>
      <c r="D127" s="3">
        <v>2.6489294296183394E-2</v>
      </c>
      <c r="E127" s="3">
        <v>1.8620777889481094E-2</v>
      </c>
      <c r="F127" s="3">
        <v>2.0472638495448076E-2</v>
      </c>
    </row>
    <row r="128" spans="1:6" x14ac:dyDescent="0.25">
      <c r="A128" s="3">
        <v>20253</v>
      </c>
      <c r="B128" s="3">
        <v>-3.6073761123367909E-2</v>
      </c>
      <c r="C128" s="3">
        <v>-3.0773189909403698E-2</v>
      </c>
      <c r="D128" s="3">
        <v>2.0943499041845892E-2</v>
      </c>
      <c r="E128" s="3">
        <v>1.1261871421912626E-2</v>
      </c>
      <c r="F128" s="3">
        <v>1.893918497022621E-2</v>
      </c>
    </row>
    <row r="129" spans="1:6" x14ac:dyDescent="0.25">
      <c r="A129" s="3">
        <v>20254</v>
      </c>
      <c r="B129" s="3">
        <v>-3.9046956366076913E-2</v>
      </c>
      <c r="C129" s="3">
        <v>-7.0868687975097266E-2</v>
      </c>
      <c r="D129" s="3">
        <v>3.4138000960074064E-2</v>
      </c>
      <c r="E129" s="3">
        <v>7.7711618827516317E-3</v>
      </c>
      <c r="F129" s="3">
        <v>1.9836395159949234E-2</v>
      </c>
    </row>
    <row r="130" spans="1:6" x14ac:dyDescent="0.25">
      <c r="A130" s="3">
        <v>20261</v>
      </c>
      <c r="B130" s="3">
        <v>-3.363035850598628E-2</v>
      </c>
      <c r="C130" s="3">
        <v>-4.1473323134777473E-2</v>
      </c>
      <c r="D130" s="3">
        <v>2.6710436173343656E-2</v>
      </c>
      <c r="E130" s="3">
        <v>4.4099427881063901E-3</v>
      </c>
      <c r="F130" s="3">
        <v>1.834481343689149E-2</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A6114-68DA-4D5A-890D-336C6D53E966}">
  <dimension ref="A1:R312"/>
  <sheetViews>
    <sheetView topLeftCell="L5" zoomScale="115" zoomScaleNormal="115" workbookViewId="0">
      <selection activeCell="P20" sqref="P20"/>
    </sheetView>
  </sheetViews>
  <sheetFormatPr defaultRowHeight="12.75" x14ac:dyDescent="0.2"/>
  <cols>
    <col min="1" max="1" width="11.42578125" style="13" customWidth="1"/>
    <col min="2" max="2" width="47.42578125" style="13" bestFit="1" customWidth="1"/>
    <col min="3" max="3" width="46.42578125" style="13" bestFit="1" customWidth="1"/>
    <col min="4" max="5" width="11.42578125" style="13" customWidth="1"/>
    <col min="6" max="6" width="11.42578125" style="14" customWidth="1"/>
    <col min="7" max="7" width="11.42578125" style="13" customWidth="1"/>
    <col min="8" max="8" width="11.42578125" style="21" customWidth="1"/>
    <col min="9" max="257" width="11.42578125" style="13" customWidth="1"/>
    <col min="258" max="258" width="47.42578125" style="13" bestFit="1" customWidth="1"/>
    <col min="259" max="259" width="46.42578125" style="13" bestFit="1" customWidth="1"/>
    <col min="260" max="513" width="11.42578125" style="13" customWidth="1"/>
    <col min="514" max="514" width="47.42578125" style="13" bestFit="1" customWidth="1"/>
    <col min="515" max="515" width="46.42578125" style="13" bestFit="1" customWidth="1"/>
    <col min="516" max="769" width="11.42578125" style="13" customWidth="1"/>
    <col min="770" max="770" width="47.42578125" style="13" bestFit="1" customWidth="1"/>
    <col min="771" max="771" width="46.42578125" style="13" bestFit="1" customWidth="1"/>
    <col min="772" max="1025" width="11.42578125" style="13" customWidth="1"/>
    <col min="1026" max="1026" width="47.42578125" style="13" bestFit="1" customWidth="1"/>
    <col min="1027" max="1027" width="46.42578125" style="13" bestFit="1" customWidth="1"/>
    <col min="1028" max="1281" width="11.42578125" style="13" customWidth="1"/>
    <col min="1282" max="1282" width="47.42578125" style="13" bestFit="1" customWidth="1"/>
    <col min="1283" max="1283" width="46.42578125" style="13" bestFit="1" customWidth="1"/>
    <col min="1284" max="1537" width="11.42578125" style="13" customWidth="1"/>
    <col min="1538" max="1538" width="47.42578125" style="13" bestFit="1" customWidth="1"/>
    <col min="1539" max="1539" width="46.42578125" style="13" bestFit="1" customWidth="1"/>
    <col min="1540" max="1793" width="11.42578125" style="13" customWidth="1"/>
    <col min="1794" max="1794" width="47.42578125" style="13" bestFit="1" customWidth="1"/>
    <col min="1795" max="1795" width="46.42578125" style="13" bestFit="1" customWidth="1"/>
    <col min="1796" max="2049" width="11.42578125" style="13" customWidth="1"/>
    <col min="2050" max="2050" width="47.42578125" style="13" bestFit="1" customWidth="1"/>
    <col min="2051" max="2051" width="46.42578125" style="13" bestFit="1" customWidth="1"/>
    <col min="2052" max="2305" width="11.42578125" style="13" customWidth="1"/>
    <col min="2306" max="2306" width="47.42578125" style="13" bestFit="1" customWidth="1"/>
    <col min="2307" max="2307" width="46.42578125" style="13" bestFit="1" customWidth="1"/>
    <col min="2308" max="2561" width="11.42578125" style="13" customWidth="1"/>
    <col min="2562" max="2562" width="47.42578125" style="13" bestFit="1" customWidth="1"/>
    <col min="2563" max="2563" width="46.42578125" style="13" bestFit="1" customWidth="1"/>
    <col min="2564" max="2817" width="11.42578125" style="13" customWidth="1"/>
    <col min="2818" max="2818" width="47.42578125" style="13" bestFit="1" customWidth="1"/>
    <col min="2819" max="2819" width="46.42578125" style="13" bestFit="1" customWidth="1"/>
    <col min="2820" max="3073" width="11.42578125" style="13" customWidth="1"/>
    <col min="3074" max="3074" width="47.42578125" style="13" bestFit="1" customWidth="1"/>
    <col min="3075" max="3075" width="46.42578125" style="13" bestFit="1" customWidth="1"/>
    <col min="3076" max="3329" width="11.42578125" style="13" customWidth="1"/>
    <col min="3330" max="3330" width="47.42578125" style="13" bestFit="1" customWidth="1"/>
    <col min="3331" max="3331" width="46.42578125" style="13" bestFit="1" customWidth="1"/>
    <col min="3332" max="3585" width="11.42578125" style="13" customWidth="1"/>
    <col min="3586" max="3586" width="47.42578125" style="13" bestFit="1" customWidth="1"/>
    <col min="3587" max="3587" width="46.42578125" style="13" bestFit="1" customWidth="1"/>
    <col min="3588" max="3841" width="11.42578125" style="13" customWidth="1"/>
    <col min="3842" max="3842" width="47.42578125" style="13" bestFit="1" customWidth="1"/>
    <col min="3843" max="3843" width="46.42578125" style="13" bestFit="1" customWidth="1"/>
    <col min="3844" max="4097" width="11.42578125" style="13" customWidth="1"/>
    <col min="4098" max="4098" width="47.42578125" style="13" bestFit="1" customWidth="1"/>
    <col min="4099" max="4099" width="46.42578125" style="13" bestFit="1" customWidth="1"/>
    <col min="4100" max="4353" width="11.42578125" style="13" customWidth="1"/>
    <col min="4354" max="4354" width="47.42578125" style="13" bestFit="1" customWidth="1"/>
    <col min="4355" max="4355" width="46.42578125" style="13" bestFit="1" customWidth="1"/>
    <col min="4356" max="4609" width="11.42578125" style="13" customWidth="1"/>
    <col min="4610" max="4610" width="47.42578125" style="13" bestFit="1" customWidth="1"/>
    <col min="4611" max="4611" width="46.42578125" style="13" bestFit="1" customWidth="1"/>
    <col min="4612" max="4865" width="11.42578125" style="13" customWidth="1"/>
    <col min="4866" max="4866" width="47.42578125" style="13" bestFit="1" customWidth="1"/>
    <col min="4867" max="4867" width="46.42578125" style="13" bestFit="1" customWidth="1"/>
    <col min="4868" max="5121" width="11.42578125" style="13" customWidth="1"/>
    <col min="5122" max="5122" width="47.42578125" style="13" bestFit="1" customWidth="1"/>
    <col min="5123" max="5123" width="46.42578125" style="13" bestFit="1" customWidth="1"/>
    <col min="5124" max="5377" width="11.42578125" style="13" customWidth="1"/>
    <col min="5378" max="5378" width="47.42578125" style="13" bestFit="1" customWidth="1"/>
    <col min="5379" max="5379" width="46.42578125" style="13" bestFit="1" customWidth="1"/>
    <col min="5380" max="5633" width="11.42578125" style="13" customWidth="1"/>
    <col min="5634" max="5634" width="47.42578125" style="13" bestFit="1" customWidth="1"/>
    <col min="5635" max="5635" width="46.42578125" style="13" bestFit="1" customWidth="1"/>
    <col min="5636" max="5889" width="11.42578125" style="13" customWidth="1"/>
    <col min="5890" max="5890" width="47.42578125" style="13" bestFit="1" customWidth="1"/>
    <col min="5891" max="5891" width="46.42578125" style="13" bestFit="1" customWidth="1"/>
    <col min="5892" max="6145" width="11.42578125" style="13" customWidth="1"/>
    <col min="6146" max="6146" width="47.42578125" style="13" bestFit="1" customWidth="1"/>
    <col min="6147" max="6147" width="46.42578125" style="13" bestFit="1" customWidth="1"/>
    <col min="6148" max="6401" width="11.42578125" style="13" customWidth="1"/>
    <col min="6402" max="6402" width="47.42578125" style="13" bestFit="1" customWidth="1"/>
    <col min="6403" max="6403" width="46.42578125" style="13" bestFit="1" customWidth="1"/>
    <col min="6404" max="6657" width="11.42578125" style="13" customWidth="1"/>
    <col min="6658" max="6658" width="47.42578125" style="13" bestFit="1" customWidth="1"/>
    <col min="6659" max="6659" width="46.42578125" style="13" bestFit="1" customWidth="1"/>
    <col min="6660" max="6913" width="11.42578125" style="13" customWidth="1"/>
    <col min="6914" max="6914" width="47.42578125" style="13" bestFit="1" customWidth="1"/>
    <col min="6915" max="6915" width="46.42578125" style="13" bestFit="1" customWidth="1"/>
    <col min="6916" max="7169" width="11.42578125" style="13" customWidth="1"/>
    <col min="7170" max="7170" width="47.42578125" style="13" bestFit="1" customWidth="1"/>
    <col min="7171" max="7171" width="46.42578125" style="13" bestFit="1" customWidth="1"/>
    <col min="7172" max="7425" width="11.42578125" style="13" customWidth="1"/>
    <col min="7426" max="7426" width="47.42578125" style="13" bestFit="1" customWidth="1"/>
    <col min="7427" max="7427" width="46.42578125" style="13" bestFit="1" customWidth="1"/>
    <col min="7428" max="7681" width="11.42578125" style="13" customWidth="1"/>
    <col min="7682" max="7682" width="47.42578125" style="13" bestFit="1" customWidth="1"/>
    <col min="7683" max="7683" width="46.42578125" style="13" bestFit="1" customWidth="1"/>
    <col min="7684" max="7937" width="11.42578125" style="13" customWidth="1"/>
    <col min="7938" max="7938" width="47.42578125" style="13" bestFit="1" customWidth="1"/>
    <col min="7939" max="7939" width="46.42578125" style="13" bestFit="1" customWidth="1"/>
    <col min="7940" max="8193" width="11.42578125" style="13" customWidth="1"/>
    <col min="8194" max="8194" width="47.42578125" style="13" bestFit="1" customWidth="1"/>
    <col min="8195" max="8195" width="46.42578125" style="13" bestFit="1" customWidth="1"/>
    <col min="8196" max="8449" width="11.42578125" style="13" customWidth="1"/>
    <col min="8450" max="8450" width="47.42578125" style="13" bestFit="1" customWidth="1"/>
    <col min="8451" max="8451" width="46.42578125" style="13" bestFit="1" customWidth="1"/>
    <col min="8452" max="8705" width="11.42578125" style="13" customWidth="1"/>
    <col min="8706" max="8706" width="47.42578125" style="13" bestFit="1" customWidth="1"/>
    <col min="8707" max="8707" width="46.42578125" style="13" bestFit="1" customWidth="1"/>
    <col min="8708" max="8961" width="11.42578125" style="13" customWidth="1"/>
    <col min="8962" max="8962" width="47.42578125" style="13" bestFit="1" customWidth="1"/>
    <col min="8963" max="8963" width="46.42578125" style="13" bestFit="1" customWidth="1"/>
    <col min="8964" max="9217" width="11.42578125" style="13" customWidth="1"/>
    <col min="9218" max="9218" width="47.42578125" style="13" bestFit="1" customWidth="1"/>
    <col min="9219" max="9219" width="46.42578125" style="13" bestFit="1" customWidth="1"/>
    <col min="9220" max="9473" width="11.42578125" style="13" customWidth="1"/>
    <col min="9474" max="9474" width="47.42578125" style="13" bestFit="1" customWidth="1"/>
    <col min="9475" max="9475" width="46.42578125" style="13" bestFit="1" customWidth="1"/>
    <col min="9476" max="9729" width="11.42578125" style="13" customWidth="1"/>
    <col min="9730" max="9730" width="47.42578125" style="13" bestFit="1" customWidth="1"/>
    <col min="9731" max="9731" width="46.42578125" style="13" bestFit="1" customWidth="1"/>
    <col min="9732" max="9985" width="11.42578125" style="13" customWidth="1"/>
    <col min="9986" max="9986" width="47.42578125" style="13" bestFit="1" customWidth="1"/>
    <col min="9987" max="9987" width="46.42578125" style="13" bestFit="1" customWidth="1"/>
    <col min="9988" max="10241" width="11.42578125" style="13" customWidth="1"/>
    <col min="10242" max="10242" width="47.42578125" style="13" bestFit="1" customWidth="1"/>
    <col min="10243" max="10243" width="46.42578125" style="13" bestFit="1" customWidth="1"/>
    <col min="10244" max="10497" width="11.42578125" style="13" customWidth="1"/>
    <col min="10498" max="10498" width="47.42578125" style="13" bestFit="1" customWidth="1"/>
    <col min="10499" max="10499" width="46.42578125" style="13" bestFit="1" customWidth="1"/>
    <col min="10500" max="10753" width="11.42578125" style="13" customWidth="1"/>
    <col min="10754" max="10754" width="47.42578125" style="13" bestFit="1" customWidth="1"/>
    <col min="10755" max="10755" width="46.42578125" style="13" bestFit="1" customWidth="1"/>
    <col min="10756" max="11009" width="11.42578125" style="13" customWidth="1"/>
    <col min="11010" max="11010" width="47.42578125" style="13" bestFit="1" customWidth="1"/>
    <col min="11011" max="11011" width="46.42578125" style="13" bestFit="1" customWidth="1"/>
    <col min="11012" max="11265" width="11.42578125" style="13" customWidth="1"/>
    <col min="11266" max="11266" width="47.42578125" style="13" bestFit="1" customWidth="1"/>
    <col min="11267" max="11267" width="46.42578125" style="13" bestFit="1" customWidth="1"/>
    <col min="11268" max="11521" width="11.42578125" style="13" customWidth="1"/>
    <col min="11522" max="11522" width="47.42578125" style="13" bestFit="1" customWidth="1"/>
    <col min="11523" max="11523" width="46.42578125" style="13" bestFit="1" customWidth="1"/>
    <col min="11524" max="11777" width="11.42578125" style="13" customWidth="1"/>
    <col min="11778" max="11778" width="47.42578125" style="13" bestFit="1" customWidth="1"/>
    <col min="11779" max="11779" width="46.42578125" style="13" bestFit="1" customWidth="1"/>
    <col min="11780" max="12033" width="11.42578125" style="13" customWidth="1"/>
    <col min="12034" max="12034" width="47.42578125" style="13" bestFit="1" customWidth="1"/>
    <col min="12035" max="12035" width="46.42578125" style="13" bestFit="1" customWidth="1"/>
    <col min="12036" max="12289" width="11.42578125" style="13" customWidth="1"/>
    <col min="12290" max="12290" width="47.42578125" style="13" bestFit="1" customWidth="1"/>
    <col min="12291" max="12291" width="46.42578125" style="13" bestFit="1" customWidth="1"/>
    <col min="12292" max="12545" width="11.42578125" style="13" customWidth="1"/>
    <col min="12546" max="12546" width="47.42578125" style="13" bestFit="1" customWidth="1"/>
    <col min="12547" max="12547" width="46.42578125" style="13" bestFit="1" customWidth="1"/>
    <col min="12548" max="12801" width="11.42578125" style="13" customWidth="1"/>
    <col min="12802" max="12802" width="47.42578125" style="13" bestFit="1" customWidth="1"/>
    <col min="12803" max="12803" width="46.42578125" style="13" bestFit="1" customWidth="1"/>
    <col min="12804" max="13057" width="11.42578125" style="13" customWidth="1"/>
    <col min="13058" max="13058" width="47.42578125" style="13" bestFit="1" customWidth="1"/>
    <col min="13059" max="13059" width="46.42578125" style="13" bestFit="1" customWidth="1"/>
    <col min="13060" max="13313" width="11.42578125" style="13" customWidth="1"/>
    <col min="13314" max="13314" width="47.42578125" style="13" bestFit="1" customWidth="1"/>
    <col min="13315" max="13315" width="46.42578125" style="13" bestFit="1" customWidth="1"/>
    <col min="13316" max="13569" width="11.42578125" style="13" customWidth="1"/>
    <col min="13570" max="13570" width="47.42578125" style="13" bestFit="1" customWidth="1"/>
    <col min="13571" max="13571" width="46.42578125" style="13" bestFit="1" customWidth="1"/>
    <col min="13572" max="13825" width="11.42578125" style="13" customWidth="1"/>
    <col min="13826" max="13826" width="47.42578125" style="13" bestFit="1" customWidth="1"/>
    <col min="13827" max="13827" width="46.42578125" style="13" bestFit="1" customWidth="1"/>
    <col min="13828" max="14081" width="11.42578125" style="13" customWidth="1"/>
    <col min="14082" max="14082" width="47.42578125" style="13" bestFit="1" customWidth="1"/>
    <col min="14083" max="14083" width="46.42578125" style="13" bestFit="1" customWidth="1"/>
    <col min="14084" max="14337" width="11.42578125" style="13" customWidth="1"/>
    <col min="14338" max="14338" width="47.42578125" style="13" bestFit="1" customWidth="1"/>
    <col min="14339" max="14339" width="46.42578125" style="13" bestFit="1" customWidth="1"/>
    <col min="14340" max="14593" width="11.42578125" style="13" customWidth="1"/>
    <col min="14594" max="14594" width="47.42578125" style="13" bestFit="1" customWidth="1"/>
    <col min="14595" max="14595" width="46.42578125" style="13" bestFit="1" customWidth="1"/>
    <col min="14596" max="14849" width="11.42578125" style="13" customWidth="1"/>
    <col min="14850" max="14850" width="47.42578125" style="13" bestFit="1" customWidth="1"/>
    <col min="14851" max="14851" width="46.42578125" style="13" bestFit="1" customWidth="1"/>
    <col min="14852" max="15105" width="11.42578125" style="13" customWidth="1"/>
    <col min="15106" max="15106" width="47.42578125" style="13" bestFit="1" customWidth="1"/>
    <col min="15107" max="15107" width="46.42578125" style="13" bestFit="1" customWidth="1"/>
    <col min="15108" max="15361" width="11.42578125" style="13" customWidth="1"/>
    <col min="15362" max="15362" width="47.42578125" style="13" bestFit="1" customWidth="1"/>
    <col min="15363" max="15363" width="46.42578125" style="13" bestFit="1" customWidth="1"/>
    <col min="15364" max="15617" width="11.42578125" style="13" customWidth="1"/>
    <col min="15618" max="15618" width="47.42578125" style="13" bestFit="1" customWidth="1"/>
    <col min="15619" max="15619" width="46.42578125" style="13" bestFit="1" customWidth="1"/>
    <col min="15620" max="15873" width="11.42578125" style="13" customWidth="1"/>
    <col min="15874" max="15874" width="47.42578125" style="13" bestFit="1" customWidth="1"/>
    <col min="15875" max="15875" width="46.42578125" style="13" bestFit="1" customWidth="1"/>
    <col min="15876" max="16129" width="11.42578125" style="13" customWidth="1"/>
    <col min="16130" max="16130" width="47.42578125" style="13" bestFit="1" customWidth="1"/>
    <col min="16131" max="16131" width="46.42578125" style="13" bestFit="1" customWidth="1"/>
    <col min="16132" max="16384" width="11.42578125" style="13" customWidth="1"/>
  </cols>
  <sheetData>
    <row r="1" spans="1:18" x14ac:dyDescent="0.2">
      <c r="A1" s="13" t="s">
        <v>1203</v>
      </c>
      <c r="B1" s="13" t="s">
        <v>1209</v>
      </c>
      <c r="C1" s="13" t="s">
        <v>1210</v>
      </c>
    </row>
    <row r="3" spans="1:18" x14ac:dyDescent="0.2">
      <c r="A3" s="14">
        <v>36892</v>
      </c>
      <c r="B3" s="13">
        <v>601.66700000000003</v>
      </c>
      <c r="C3" s="13">
        <v>502.5</v>
      </c>
    </row>
    <row r="4" spans="1:18" x14ac:dyDescent="0.2">
      <c r="A4" s="14">
        <v>36923</v>
      </c>
      <c r="B4" s="13">
        <v>635</v>
      </c>
      <c r="C4" s="13">
        <v>582.1</v>
      </c>
    </row>
    <row r="5" spans="1:18" ht="15" x14ac:dyDescent="0.25">
      <c r="A5" s="14">
        <v>36951</v>
      </c>
      <c r="B5" s="13">
        <v>710</v>
      </c>
      <c r="C5" s="13">
        <v>628.125</v>
      </c>
      <c r="G5" s="13" t="s">
        <v>1211</v>
      </c>
      <c r="H5" s="21" t="s">
        <v>1212</v>
      </c>
      <c r="J5" s="15"/>
      <c r="K5" s="15"/>
      <c r="L5" s="15"/>
      <c r="M5" s="15"/>
      <c r="N5"/>
      <c r="O5" s="15" t="s">
        <v>1216</v>
      </c>
      <c r="P5" s="15" t="s">
        <v>1217</v>
      </c>
      <c r="Q5" s="15" t="s">
        <v>1218</v>
      </c>
      <c r="R5" s="15" t="s">
        <v>1219</v>
      </c>
    </row>
    <row r="6" spans="1:18" ht="15" x14ac:dyDescent="0.25">
      <c r="A6" s="14">
        <v>36982</v>
      </c>
      <c r="B6" s="13">
        <v>785</v>
      </c>
      <c r="C6" s="13">
        <v>711.25</v>
      </c>
      <c r="E6" s="14">
        <f>EDATE(F6,2)</f>
        <v>36951</v>
      </c>
      <c r="F6" s="14">
        <v>36892</v>
      </c>
      <c r="G6" s="13">
        <f>VLOOKUP(E6,$A:$C,2,FALSE)</f>
        <v>710</v>
      </c>
      <c r="H6" s="21">
        <f>VLOOKUP(E6,$A:$C,3,FALSE)</f>
        <v>628.125</v>
      </c>
      <c r="J6" s="16"/>
      <c r="K6" s="16"/>
      <c r="L6" s="17"/>
      <c r="M6" s="17"/>
      <c r="N6"/>
      <c r="O6" s="18" t="e">
        <f>INDEX(LINEST(K6:K53,J6:J53),1,1)</f>
        <v>#VALUE!</v>
      </c>
      <c r="P6" s="18" t="e">
        <f>INDEX(LINEST(K6:K53,J6:J53),1,2)</f>
        <v>#VALUE!</v>
      </c>
      <c r="Q6" s="18" t="e">
        <f>EXP(P6)</f>
        <v>#VALUE!</v>
      </c>
      <c r="R6" s="19" t="e">
        <f>RSQ(K6:K53,J6:J53)</f>
        <v>#DIV/0!</v>
      </c>
    </row>
    <row r="7" spans="1:18" ht="15" x14ac:dyDescent="0.25">
      <c r="A7" s="14">
        <v>37012</v>
      </c>
      <c r="B7" s="13">
        <v>821.66700000000003</v>
      </c>
      <c r="C7" s="13">
        <v>769.58299999999997</v>
      </c>
      <c r="E7" s="14">
        <f t="shared" ref="E7:E70" si="0">EDATE(F7,2)</f>
        <v>37043</v>
      </c>
      <c r="F7" s="14">
        <v>36982</v>
      </c>
      <c r="G7" s="13">
        <f t="shared" ref="G7:G70" si="1">VLOOKUP(E7,$A:$C,2,FALSE)</f>
        <v>844.375</v>
      </c>
      <c r="H7" s="21">
        <f t="shared" ref="H7:H70" si="2">VLOOKUP(E7,$A:$C,3,FALSE)</f>
        <v>775.58299999999997</v>
      </c>
      <c r="J7" s="16"/>
      <c r="K7" s="16"/>
      <c r="L7" s="17"/>
      <c r="M7" s="17"/>
      <c r="N7"/>
      <c r="O7"/>
      <c r="P7"/>
      <c r="Q7"/>
      <c r="R7"/>
    </row>
    <row r="8" spans="1:18" ht="15" x14ac:dyDescent="0.25">
      <c r="A8" s="14">
        <v>37043</v>
      </c>
      <c r="B8" s="13">
        <v>844.375</v>
      </c>
      <c r="C8" s="13">
        <v>775.58299999999997</v>
      </c>
      <c r="E8" s="14">
        <f t="shared" si="0"/>
        <v>37135</v>
      </c>
      <c r="F8" s="14">
        <v>37073</v>
      </c>
      <c r="G8" s="13">
        <f t="shared" si="1"/>
        <v>1225.6300000000001</v>
      </c>
      <c r="H8" s="21">
        <f t="shared" si="2"/>
        <v>1176.8800000000001</v>
      </c>
      <c r="J8" s="16"/>
      <c r="K8" s="16"/>
      <c r="L8" s="17"/>
      <c r="M8" s="17"/>
      <c r="N8"/>
      <c r="O8"/>
      <c r="P8"/>
      <c r="Q8"/>
      <c r="R8"/>
    </row>
    <row r="9" spans="1:18" ht="15" x14ac:dyDescent="0.25">
      <c r="A9" s="14">
        <v>37073</v>
      </c>
      <c r="B9" s="13">
        <v>975.625</v>
      </c>
      <c r="C9" s="13">
        <v>919.58299999999997</v>
      </c>
      <c r="E9" s="14">
        <f t="shared" si="0"/>
        <v>37226</v>
      </c>
      <c r="F9" s="14">
        <v>37165</v>
      </c>
      <c r="G9" s="13">
        <f t="shared" si="1"/>
        <v>893.75</v>
      </c>
      <c r="H9" s="21">
        <f t="shared" si="2"/>
        <v>824.58299999999997</v>
      </c>
      <c r="J9" s="16"/>
      <c r="K9" s="16"/>
      <c r="L9" s="17"/>
      <c r="M9" s="17"/>
      <c r="N9"/>
      <c r="O9"/>
      <c r="P9"/>
      <c r="Q9"/>
      <c r="R9"/>
    </row>
    <row r="10" spans="1:18" ht="15" x14ac:dyDescent="0.25">
      <c r="A10" s="14">
        <v>37104</v>
      </c>
      <c r="B10" s="13">
        <v>961.875</v>
      </c>
      <c r="C10" s="13">
        <v>900.41700000000003</v>
      </c>
      <c r="E10" s="14">
        <f t="shared" si="0"/>
        <v>37316</v>
      </c>
      <c r="F10" s="14">
        <v>37257</v>
      </c>
      <c r="G10" s="13">
        <f t="shared" si="1"/>
        <v>768.35699999999997</v>
      </c>
      <c r="H10" s="21">
        <f t="shared" si="2"/>
        <v>718</v>
      </c>
      <c r="J10" s="16"/>
      <c r="K10" s="16"/>
      <c r="L10" s="17"/>
      <c r="M10" s="17"/>
      <c r="N10"/>
      <c r="O10"/>
      <c r="P10"/>
      <c r="Q10"/>
      <c r="R10"/>
    </row>
    <row r="11" spans="1:18" ht="15" x14ac:dyDescent="0.25">
      <c r="A11" s="14">
        <v>37135</v>
      </c>
      <c r="B11" s="13">
        <v>1225.6300000000001</v>
      </c>
      <c r="C11" s="13">
        <v>1176.8800000000001</v>
      </c>
      <c r="E11" s="14">
        <f t="shared" si="0"/>
        <v>37408</v>
      </c>
      <c r="F11" s="14">
        <v>37347</v>
      </c>
      <c r="G11" s="13">
        <f t="shared" si="1"/>
        <v>1977.5</v>
      </c>
      <c r="H11" s="21">
        <f t="shared" si="2"/>
        <v>2193.75</v>
      </c>
      <c r="J11" s="16"/>
      <c r="K11" s="16"/>
      <c r="L11" s="17"/>
      <c r="M11" s="17"/>
      <c r="N11"/>
      <c r="O11"/>
      <c r="P11"/>
      <c r="Q11"/>
      <c r="R11"/>
    </row>
    <row r="12" spans="1:18" ht="15" x14ac:dyDescent="0.25">
      <c r="A12" s="14">
        <v>37165</v>
      </c>
      <c r="B12" s="13">
        <v>1264.3800000000001</v>
      </c>
      <c r="C12" s="13">
        <v>1183.75</v>
      </c>
      <c r="E12" s="14">
        <f t="shared" si="0"/>
        <v>37500</v>
      </c>
      <c r="F12" s="14">
        <v>37438</v>
      </c>
      <c r="G12" s="13">
        <f t="shared" si="1"/>
        <v>3458.21</v>
      </c>
      <c r="H12" s="21">
        <f t="shared" si="2"/>
        <v>3733.36</v>
      </c>
      <c r="J12" s="16"/>
      <c r="K12" s="16"/>
      <c r="L12" s="17"/>
      <c r="M12" s="17"/>
      <c r="N12"/>
      <c r="O12"/>
      <c r="P12"/>
      <c r="Q12"/>
      <c r="R12"/>
    </row>
    <row r="13" spans="1:18" ht="15" x14ac:dyDescent="0.25">
      <c r="A13" s="14">
        <v>37196</v>
      </c>
      <c r="B13" s="13">
        <v>1032.08</v>
      </c>
      <c r="C13" s="13">
        <v>960.41700000000003</v>
      </c>
      <c r="E13" s="14">
        <f t="shared" si="0"/>
        <v>37591</v>
      </c>
      <c r="F13" s="14">
        <v>37530</v>
      </c>
      <c r="G13" s="13">
        <f t="shared" si="1"/>
        <v>1880.75</v>
      </c>
      <c r="H13" s="21">
        <f t="shared" si="2"/>
        <v>2147</v>
      </c>
      <c r="J13" s="16"/>
      <c r="K13" s="16"/>
      <c r="L13" s="17"/>
      <c r="M13" s="17"/>
      <c r="N13"/>
      <c r="O13"/>
      <c r="P13"/>
      <c r="Q13"/>
      <c r="R13"/>
    </row>
    <row r="14" spans="1:18" ht="15" x14ac:dyDescent="0.25">
      <c r="A14" s="14">
        <v>37226</v>
      </c>
      <c r="B14" s="13">
        <v>893.75</v>
      </c>
      <c r="C14" s="13">
        <v>824.58299999999997</v>
      </c>
      <c r="E14" s="14">
        <f t="shared" si="0"/>
        <v>37681</v>
      </c>
      <c r="F14" s="14">
        <v>37622</v>
      </c>
      <c r="G14" s="13">
        <f t="shared" si="1"/>
        <v>1346.19</v>
      </c>
      <c r="H14" s="21">
        <f t="shared" si="2"/>
        <v>1369.58</v>
      </c>
      <c r="J14" s="16"/>
      <c r="K14" s="16"/>
      <c r="L14" s="17"/>
      <c r="M14" s="17"/>
      <c r="N14"/>
      <c r="O14"/>
      <c r="P14"/>
      <c r="Q14"/>
      <c r="R14"/>
    </row>
    <row r="15" spans="1:18" ht="15" x14ac:dyDescent="0.25">
      <c r="A15" s="14">
        <v>37257</v>
      </c>
      <c r="B15" s="13">
        <v>920</v>
      </c>
      <c r="C15" s="13">
        <v>852.08299999999997</v>
      </c>
      <c r="E15" s="14">
        <f t="shared" si="0"/>
        <v>37773</v>
      </c>
      <c r="F15" s="14">
        <v>37712</v>
      </c>
      <c r="G15" s="13">
        <f t="shared" si="1"/>
        <v>930.08299999999997</v>
      </c>
      <c r="H15" s="21">
        <f t="shared" si="2"/>
        <v>889.91700000000003</v>
      </c>
      <c r="J15" s="16"/>
      <c r="K15" s="16"/>
      <c r="L15" s="17"/>
      <c r="M15" s="17"/>
      <c r="N15"/>
      <c r="O15"/>
      <c r="P15"/>
      <c r="Q15"/>
      <c r="R15"/>
    </row>
    <row r="16" spans="1:18" ht="15" x14ac:dyDescent="0.25">
      <c r="A16" s="14">
        <v>37288</v>
      </c>
      <c r="B16" s="13">
        <v>853.21400000000006</v>
      </c>
      <c r="C16" s="13">
        <v>791.07100000000003</v>
      </c>
      <c r="E16" s="14">
        <f t="shared" si="0"/>
        <v>37865</v>
      </c>
      <c r="F16" s="14">
        <v>37803</v>
      </c>
      <c r="G16" s="13">
        <f t="shared" si="1"/>
        <v>802.94399999999996</v>
      </c>
      <c r="H16" s="21">
        <f t="shared" si="2"/>
        <v>763</v>
      </c>
      <c r="J16" s="16"/>
      <c r="K16" s="16"/>
      <c r="L16" s="17"/>
      <c r="M16" s="17"/>
      <c r="N16"/>
      <c r="O16"/>
      <c r="P16"/>
      <c r="Q16"/>
      <c r="R16"/>
    </row>
    <row r="17" spans="1:18" ht="15" x14ac:dyDescent="0.25">
      <c r="A17" s="14">
        <v>37316</v>
      </c>
      <c r="B17" s="13">
        <v>768.35699999999997</v>
      </c>
      <c r="C17" s="13">
        <v>718</v>
      </c>
      <c r="E17" s="14">
        <f t="shared" si="0"/>
        <v>37956</v>
      </c>
      <c r="F17" s="14">
        <v>37895</v>
      </c>
      <c r="G17" s="13">
        <f t="shared" si="1"/>
        <v>464.57499999999999</v>
      </c>
      <c r="H17" s="21">
        <f t="shared" si="2"/>
        <v>403.84399999999999</v>
      </c>
      <c r="J17" s="16"/>
      <c r="K17" s="16"/>
      <c r="L17" s="17"/>
      <c r="M17" s="17"/>
      <c r="N17"/>
      <c r="O17"/>
      <c r="P17"/>
      <c r="Q17"/>
      <c r="R17"/>
    </row>
    <row r="18" spans="1:18" ht="15" x14ac:dyDescent="0.25">
      <c r="A18" s="14">
        <v>37347</v>
      </c>
      <c r="B18" s="13">
        <v>915.07100000000003</v>
      </c>
      <c r="C18" s="13">
        <v>861.85699999999997</v>
      </c>
      <c r="E18" s="14">
        <f t="shared" si="0"/>
        <v>38047</v>
      </c>
      <c r="F18" s="14">
        <v>37987</v>
      </c>
      <c r="G18" s="13">
        <f t="shared" si="1"/>
        <v>633.96400000000006</v>
      </c>
      <c r="H18" s="21">
        <f t="shared" si="2"/>
        <v>576.60699999999997</v>
      </c>
      <c r="J18" s="16"/>
      <c r="K18" s="16"/>
      <c r="L18" s="17"/>
      <c r="M18" s="17"/>
      <c r="N18"/>
      <c r="O18"/>
      <c r="P18"/>
      <c r="Q18"/>
      <c r="R18"/>
    </row>
    <row r="19" spans="1:18" ht="15" x14ac:dyDescent="0.25">
      <c r="A19" s="14">
        <v>37377</v>
      </c>
      <c r="B19" s="13">
        <v>1096.5</v>
      </c>
      <c r="C19" s="13">
        <v>1064.5</v>
      </c>
      <c r="E19" s="14">
        <f t="shared" si="0"/>
        <v>38139</v>
      </c>
      <c r="F19" s="14">
        <v>38078</v>
      </c>
      <c r="G19" s="13">
        <f t="shared" si="1"/>
        <v>763.28599999999994</v>
      </c>
      <c r="H19" s="21">
        <f t="shared" si="2"/>
        <v>710.85299999999995</v>
      </c>
      <c r="J19" s="16"/>
      <c r="K19" s="16"/>
      <c r="L19" s="17"/>
      <c r="M19" s="17"/>
      <c r="N19"/>
      <c r="O19"/>
      <c r="P19"/>
      <c r="Q19"/>
      <c r="R19"/>
    </row>
    <row r="20" spans="1:18" ht="15" x14ac:dyDescent="0.25">
      <c r="A20" s="14">
        <v>37408</v>
      </c>
      <c r="B20" s="13">
        <v>1977.5</v>
      </c>
      <c r="C20" s="13">
        <v>2193.75</v>
      </c>
      <c r="E20" s="14">
        <f t="shared" si="0"/>
        <v>38231</v>
      </c>
      <c r="F20" s="14">
        <v>38169</v>
      </c>
      <c r="G20" s="13">
        <f t="shared" si="1"/>
        <v>505.18299999999999</v>
      </c>
      <c r="H20" s="21">
        <f t="shared" si="2"/>
        <v>436.10899999999998</v>
      </c>
      <c r="J20" s="16"/>
      <c r="K20" s="16"/>
      <c r="L20" s="17"/>
      <c r="M20" s="17"/>
      <c r="N20"/>
      <c r="O20"/>
      <c r="P20"/>
      <c r="Q20"/>
      <c r="R20"/>
    </row>
    <row r="21" spans="1:18" ht="15" x14ac:dyDescent="0.25">
      <c r="A21" s="14">
        <v>37438</v>
      </c>
      <c r="B21" s="13">
        <v>3211.7</v>
      </c>
      <c r="C21" s="13">
        <v>3466.25</v>
      </c>
      <c r="E21" s="14">
        <f t="shared" si="0"/>
        <v>38322</v>
      </c>
      <c r="F21" s="14">
        <v>38261</v>
      </c>
      <c r="G21" s="13">
        <f t="shared" si="1"/>
        <v>376.00900000000001</v>
      </c>
      <c r="H21" s="21">
        <f t="shared" si="2"/>
        <v>306.096</v>
      </c>
      <c r="J21" s="16"/>
      <c r="K21" s="16"/>
      <c r="L21" s="17"/>
      <c r="M21" s="17"/>
      <c r="N21"/>
      <c r="O21"/>
      <c r="P21"/>
      <c r="Q21"/>
      <c r="R21"/>
    </row>
    <row r="22" spans="1:18" ht="15" x14ac:dyDescent="0.25">
      <c r="A22" s="14">
        <v>37469</v>
      </c>
      <c r="B22" s="13">
        <v>2578.0700000000002</v>
      </c>
      <c r="C22" s="13">
        <v>2772.5</v>
      </c>
      <c r="E22" s="14">
        <f t="shared" si="0"/>
        <v>38412</v>
      </c>
      <c r="F22" s="14">
        <v>38353</v>
      </c>
      <c r="G22" s="13">
        <f t="shared" si="1"/>
        <v>506.23099999999999</v>
      </c>
      <c r="H22" s="21">
        <f t="shared" si="2"/>
        <v>429.46899999999999</v>
      </c>
      <c r="J22" s="16"/>
      <c r="K22" s="16"/>
      <c r="L22" s="17"/>
      <c r="M22" s="17"/>
      <c r="N22"/>
      <c r="O22"/>
      <c r="P22"/>
      <c r="Q22"/>
      <c r="R22"/>
    </row>
    <row r="23" spans="1:18" ht="15" x14ac:dyDescent="0.25">
      <c r="A23" s="14">
        <v>37500</v>
      </c>
      <c r="B23" s="13">
        <v>3458.21</v>
      </c>
      <c r="C23" s="13">
        <v>3733.36</v>
      </c>
      <c r="E23" s="14">
        <f t="shared" si="0"/>
        <v>38504</v>
      </c>
      <c r="F23" s="14">
        <v>38443</v>
      </c>
      <c r="G23" s="13">
        <f t="shared" si="1"/>
        <v>413.25700000000001</v>
      </c>
      <c r="H23" s="21">
        <f t="shared" si="2"/>
        <v>322.959</v>
      </c>
      <c r="J23" s="16"/>
      <c r="K23" s="16"/>
      <c r="L23" s="17"/>
      <c r="M23" s="17"/>
      <c r="N23"/>
      <c r="O23"/>
      <c r="P23"/>
      <c r="Q23"/>
      <c r="R23"/>
    </row>
    <row r="24" spans="1:18" ht="15" x14ac:dyDescent="0.25">
      <c r="A24" s="14">
        <v>37530</v>
      </c>
      <c r="B24" s="13">
        <v>2921.83</v>
      </c>
      <c r="C24" s="13">
        <v>3039.33</v>
      </c>
      <c r="E24" s="14">
        <f t="shared" si="0"/>
        <v>38596</v>
      </c>
      <c r="F24" s="14">
        <v>38534</v>
      </c>
      <c r="G24" s="13">
        <f t="shared" si="1"/>
        <v>333.37599999999998</v>
      </c>
      <c r="H24" s="21">
        <f t="shared" si="2"/>
        <v>247.762</v>
      </c>
      <c r="J24" s="16"/>
      <c r="K24" s="16"/>
      <c r="L24" s="17"/>
      <c r="M24" s="17"/>
      <c r="N24"/>
      <c r="O24"/>
      <c r="P24"/>
      <c r="Q24"/>
      <c r="R24"/>
    </row>
    <row r="25" spans="1:18" ht="15" x14ac:dyDescent="0.25">
      <c r="A25" s="14">
        <v>37561</v>
      </c>
      <c r="B25" s="13">
        <v>2453.33</v>
      </c>
      <c r="C25" s="13">
        <v>2673.43</v>
      </c>
      <c r="E25" s="14">
        <f t="shared" si="0"/>
        <v>38687</v>
      </c>
      <c r="F25" s="14">
        <v>38626</v>
      </c>
      <c r="G25" s="13">
        <f t="shared" si="1"/>
        <v>299.32</v>
      </c>
      <c r="H25" s="21">
        <f t="shared" si="2"/>
        <v>223.19300000000001</v>
      </c>
      <c r="J25" s="16"/>
      <c r="K25" s="16"/>
      <c r="L25" s="17"/>
      <c r="M25" s="17"/>
      <c r="N25"/>
      <c r="O25"/>
      <c r="P25"/>
      <c r="Q25"/>
      <c r="R25"/>
    </row>
    <row r="26" spans="1:18" ht="15" x14ac:dyDescent="0.25">
      <c r="A26" s="14">
        <v>37591</v>
      </c>
      <c r="B26" s="13">
        <v>1880.75</v>
      </c>
      <c r="C26" s="13">
        <v>2147</v>
      </c>
      <c r="E26" s="14">
        <f t="shared" si="0"/>
        <v>38777</v>
      </c>
      <c r="F26" s="14">
        <v>38718</v>
      </c>
      <c r="G26" s="13">
        <f t="shared" si="1"/>
        <v>216.672</v>
      </c>
      <c r="H26" s="21">
        <f t="shared" si="2"/>
        <v>146.982</v>
      </c>
      <c r="J26" s="16"/>
      <c r="K26" s="16"/>
      <c r="L26" s="17"/>
      <c r="M26" s="17"/>
      <c r="N26"/>
      <c r="O26"/>
      <c r="P26"/>
      <c r="Q26"/>
      <c r="R26"/>
    </row>
    <row r="27" spans="1:18" ht="15" x14ac:dyDescent="0.25">
      <c r="A27" s="14">
        <v>37622</v>
      </c>
      <c r="B27" s="13">
        <v>1623.33</v>
      </c>
      <c r="C27" s="13">
        <v>1742.75</v>
      </c>
      <c r="E27" s="14">
        <f t="shared" si="0"/>
        <v>38869</v>
      </c>
      <c r="F27" s="14">
        <v>38808</v>
      </c>
      <c r="G27" s="13">
        <f t="shared" si="1"/>
        <v>257.42700000000002</v>
      </c>
      <c r="H27" s="21">
        <f t="shared" si="2"/>
        <v>171.42</v>
      </c>
      <c r="J27" s="16"/>
      <c r="K27" s="16"/>
      <c r="L27" s="17"/>
      <c r="M27" s="17"/>
      <c r="N27"/>
      <c r="O27"/>
      <c r="P27"/>
      <c r="Q27"/>
      <c r="R27"/>
    </row>
    <row r="28" spans="1:18" ht="15" x14ac:dyDescent="0.25">
      <c r="A28" s="14">
        <v>37653</v>
      </c>
      <c r="B28" s="13">
        <v>1454</v>
      </c>
      <c r="C28" s="13">
        <v>1528</v>
      </c>
      <c r="E28" s="14">
        <f t="shared" si="0"/>
        <v>38961</v>
      </c>
      <c r="F28" s="14">
        <v>38899</v>
      </c>
      <c r="G28" s="13">
        <f t="shared" si="1"/>
        <v>209.21</v>
      </c>
      <c r="H28" s="21">
        <f t="shared" si="2"/>
        <v>134.203</v>
      </c>
      <c r="J28" s="16"/>
      <c r="K28" s="16"/>
      <c r="L28" s="17"/>
      <c r="M28" s="17"/>
      <c r="N28"/>
      <c r="O28"/>
      <c r="P28"/>
      <c r="Q28"/>
      <c r="R28"/>
    </row>
    <row r="29" spans="1:18" ht="15" x14ac:dyDescent="0.25">
      <c r="A29" s="14">
        <v>37681</v>
      </c>
      <c r="B29" s="13">
        <v>1346.19</v>
      </c>
      <c r="C29" s="13">
        <v>1369.58</v>
      </c>
      <c r="E29" s="14">
        <f t="shared" si="0"/>
        <v>39052</v>
      </c>
      <c r="F29" s="14">
        <v>38991</v>
      </c>
      <c r="G29" s="13">
        <f t="shared" si="1"/>
        <v>157.22499999999999</v>
      </c>
      <c r="H29" s="21">
        <f t="shared" si="2"/>
        <v>99.765900000000002</v>
      </c>
      <c r="J29" s="16"/>
      <c r="K29" s="16"/>
      <c r="L29" s="17"/>
      <c r="M29" s="17"/>
      <c r="N29"/>
      <c r="O29"/>
      <c r="P29"/>
      <c r="Q29"/>
      <c r="R29"/>
    </row>
    <row r="30" spans="1:18" ht="15" x14ac:dyDescent="0.25">
      <c r="A30" s="14">
        <v>37712</v>
      </c>
      <c r="B30" s="13">
        <v>976.71900000000005</v>
      </c>
      <c r="C30" s="13">
        <v>972.68</v>
      </c>
      <c r="E30" s="14">
        <f t="shared" si="0"/>
        <v>39142</v>
      </c>
      <c r="F30" s="14">
        <v>39083</v>
      </c>
      <c r="G30" s="13">
        <f t="shared" si="1"/>
        <v>133.50800000000001</v>
      </c>
      <c r="H30" s="21">
        <f t="shared" si="2"/>
        <v>83.590999999999994</v>
      </c>
      <c r="J30" s="16"/>
      <c r="K30" s="16"/>
      <c r="L30" s="17"/>
      <c r="M30" s="17"/>
      <c r="N30"/>
      <c r="O30"/>
      <c r="P30"/>
      <c r="Q30"/>
      <c r="R30"/>
    </row>
    <row r="31" spans="1:18" ht="15" x14ac:dyDescent="0.25">
      <c r="A31" s="14">
        <v>37742</v>
      </c>
      <c r="B31" s="13">
        <v>974.375</v>
      </c>
      <c r="C31" s="13">
        <v>949.375</v>
      </c>
      <c r="E31" s="14">
        <f t="shared" si="0"/>
        <v>39234</v>
      </c>
      <c r="F31" s="14">
        <v>39173</v>
      </c>
      <c r="G31" s="13">
        <f t="shared" si="1"/>
        <v>108.06</v>
      </c>
      <c r="H31" s="21">
        <f t="shared" si="2"/>
        <v>74.676400000000001</v>
      </c>
      <c r="J31" s="16"/>
      <c r="K31" s="16"/>
      <c r="L31" s="17"/>
      <c r="M31" s="17"/>
      <c r="N31"/>
      <c r="O31"/>
      <c r="P31"/>
      <c r="Q31"/>
      <c r="R31"/>
    </row>
    <row r="32" spans="1:18" ht="15" x14ac:dyDescent="0.25">
      <c r="A32" s="14">
        <v>37773</v>
      </c>
      <c r="B32" s="13">
        <v>930.08299999999997</v>
      </c>
      <c r="C32" s="13">
        <v>889.91700000000003</v>
      </c>
      <c r="E32" s="14">
        <f t="shared" si="0"/>
        <v>39326</v>
      </c>
      <c r="F32" s="14">
        <v>39264</v>
      </c>
      <c r="G32" s="13">
        <f t="shared" si="1"/>
        <v>121.27500000000001</v>
      </c>
      <c r="H32" s="21">
        <f t="shared" si="2"/>
        <v>85.3797</v>
      </c>
      <c r="J32" s="16"/>
      <c r="K32" s="16"/>
      <c r="L32" s="17"/>
      <c r="M32" s="17"/>
      <c r="N32"/>
      <c r="O32"/>
      <c r="P32"/>
      <c r="Q32"/>
      <c r="R32"/>
    </row>
    <row r="33" spans="1:18" ht="15" x14ac:dyDescent="0.25">
      <c r="A33" s="14">
        <v>37803</v>
      </c>
      <c r="B33" s="13">
        <v>913.42899999999997</v>
      </c>
      <c r="C33" s="13">
        <v>873.5</v>
      </c>
      <c r="E33" s="14">
        <f t="shared" si="0"/>
        <v>39417</v>
      </c>
      <c r="F33" s="14">
        <v>39356</v>
      </c>
      <c r="G33" s="13">
        <f t="shared" si="1"/>
        <v>136.35499999999999</v>
      </c>
      <c r="H33" s="21">
        <f t="shared" si="2"/>
        <v>101.148</v>
      </c>
      <c r="J33" s="16"/>
      <c r="K33" s="16"/>
      <c r="L33" s="17"/>
      <c r="M33" s="17"/>
      <c r="N33"/>
      <c r="O33"/>
      <c r="P33"/>
      <c r="Q33"/>
      <c r="R33"/>
    </row>
    <row r="34" spans="1:18" ht="15" x14ac:dyDescent="0.25">
      <c r="A34" s="14">
        <v>37834</v>
      </c>
      <c r="B34" s="13">
        <v>805.84</v>
      </c>
      <c r="C34" s="13">
        <v>767.06899999999996</v>
      </c>
      <c r="E34" s="14">
        <f t="shared" si="0"/>
        <v>39508</v>
      </c>
      <c r="F34" s="14">
        <v>39448</v>
      </c>
      <c r="G34" s="13">
        <f t="shared" si="1"/>
        <v>222.583</v>
      </c>
      <c r="H34" s="21">
        <f t="shared" si="2"/>
        <v>177.482</v>
      </c>
      <c r="J34" s="16"/>
      <c r="K34" s="16"/>
      <c r="L34" s="17"/>
      <c r="M34" s="17"/>
      <c r="N34"/>
      <c r="O34"/>
      <c r="P34"/>
      <c r="Q34"/>
      <c r="R34"/>
    </row>
    <row r="35" spans="1:18" ht="15" x14ac:dyDescent="0.25">
      <c r="A35" s="14">
        <v>37865</v>
      </c>
      <c r="B35" s="13">
        <v>802.94399999999996</v>
      </c>
      <c r="C35" s="13">
        <v>763</v>
      </c>
      <c r="E35" s="14">
        <f t="shared" si="0"/>
        <v>39600</v>
      </c>
      <c r="F35" s="14">
        <v>39539</v>
      </c>
      <c r="G35" s="13">
        <f t="shared" si="1"/>
        <v>154.44</v>
      </c>
      <c r="H35" s="21">
        <f t="shared" si="2"/>
        <v>119.889</v>
      </c>
      <c r="J35" s="16"/>
      <c r="K35" s="16"/>
      <c r="L35" s="17"/>
      <c r="M35" s="17"/>
      <c r="N35"/>
      <c r="O35"/>
      <c r="P35"/>
      <c r="Q35"/>
      <c r="R35"/>
    </row>
    <row r="36" spans="1:18" ht="15" x14ac:dyDescent="0.25">
      <c r="A36" s="14">
        <v>37895</v>
      </c>
      <c r="B36" s="13">
        <v>679.178</v>
      </c>
      <c r="C36" s="13">
        <v>636.54700000000003</v>
      </c>
      <c r="E36" s="14">
        <f t="shared" si="0"/>
        <v>39692</v>
      </c>
      <c r="F36" s="14">
        <v>39630</v>
      </c>
      <c r="G36" s="13">
        <f t="shared" si="1"/>
        <v>223.42400000000001</v>
      </c>
      <c r="H36" s="21">
        <f t="shared" si="2"/>
        <v>180.18199999999999</v>
      </c>
      <c r="J36" s="16"/>
      <c r="K36" s="16"/>
      <c r="L36" s="17"/>
      <c r="M36" s="17"/>
      <c r="N36"/>
      <c r="O36"/>
      <c r="P36"/>
      <c r="Q36"/>
      <c r="R36"/>
    </row>
    <row r="37" spans="1:18" ht="15" x14ac:dyDescent="0.25">
      <c r="A37" s="14">
        <v>37926</v>
      </c>
      <c r="B37" s="13">
        <v>556.30600000000004</v>
      </c>
      <c r="C37" s="13">
        <v>507.73099999999999</v>
      </c>
      <c r="E37" s="14">
        <f t="shared" si="0"/>
        <v>39783</v>
      </c>
      <c r="F37" s="14">
        <v>39722</v>
      </c>
      <c r="G37" s="13">
        <f t="shared" si="1"/>
        <v>325.786</v>
      </c>
      <c r="H37" s="21">
        <f t="shared" si="2"/>
        <v>303.52</v>
      </c>
      <c r="J37" s="16"/>
      <c r="K37" s="16"/>
      <c r="L37" s="17"/>
      <c r="M37" s="17"/>
      <c r="N37"/>
      <c r="O37"/>
      <c r="P37"/>
      <c r="Q37"/>
      <c r="R37"/>
    </row>
    <row r="38" spans="1:18" ht="15" x14ac:dyDescent="0.25">
      <c r="A38" s="14">
        <v>37956</v>
      </c>
      <c r="B38" s="13">
        <v>464.57499999999999</v>
      </c>
      <c r="C38" s="13">
        <v>403.84399999999999</v>
      </c>
      <c r="E38" s="14">
        <f t="shared" si="0"/>
        <v>39873</v>
      </c>
      <c r="F38" s="14">
        <v>39814</v>
      </c>
      <c r="G38" s="13">
        <f t="shared" si="1"/>
        <v>350.05599999999998</v>
      </c>
      <c r="H38" s="21">
        <f t="shared" si="2"/>
        <v>325.05200000000002</v>
      </c>
      <c r="J38" s="16"/>
      <c r="K38" s="16"/>
      <c r="L38" s="17"/>
      <c r="M38" s="17"/>
      <c r="N38"/>
      <c r="O38"/>
      <c r="P38"/>
      <c r="Q38"/>
      <c r="R38"/>
    </row>
    <row r="39" spans="1:18" ht="15" x14ac:dyDescent="0.25">
      <c r="A39" s="14">
        <v>37987</v>
      </c>
      <c r="B39" s="13">
        <v>551.00800000000004</v>
      </c>
      <c r="C39" s="13">
        <v>494.14499999999998</v>
      </c>
      <c r="E39" s="14">
        <f t="shared" si="0"/>
        <v>39965</v>
      </c>
      <c r="F39" s="14">
        <v>39904</v>
      </c>
      <c r="G39" s="13">
        <f t="shared" si="1"/>
        <v>199.971</v>
      </c>
      <c r="H39" s="21">
        <f t="shared" si="2"/>
        <v>175.10499999999999</v>
      </c>
      <c r="J39" s="16"/>
      <c r="K39" s="16"/>
      <c r="L39" s="17"/>
      <c r="M39" s="17"/>
      <c r="N39"/>
      <c r="O39"/>
      <c r="P39"/>
      <c r="Q39"/>
      <c r="R39"/>
    </row>
    <row r="40" spans="1:18" ht="15" x14ac:dyDescent="0.25">
      <c r="A40" s="14">
        <v>38018</v>
      </c>
      <c r="B40" s="13">
        <v>658.28800000000001</v>
      </c>
      <c r="C40" s="13">
        <v>604.59400000000005</v>
      </c>
      <c r="E40" s="14">
        <f t="shared" si="0"/>
        <v>40057</v>
      </c>
      <c r="F40" s="14">
        <v>39995</v>
      </c>
      <c r="G40" s="13">
        <f t="shared" si="1"/>
        <v>153.24100000000001</v>
      </c>
      <c r="H40" s="21">
        <f t="shared" si="2"/>
        <v>126.384</v>
      </c>
      <c r="J40" s="16"/>
      <c r="K40" s="16"/>
      <c r="L40" s="17"/>
      <c r="M40" s="17"/>
      <c r="N40"/>
      <c r="O40"/>
      <c r="P40"/>
      <c r="Q40"/>
      <c r="R40"/>
    </row>
    <row r="41" spans="1:18" ht="15" x14ac:dyDescent="0.25">
      <c r="A41" s="14">
        <v>38047</v>
      </c>
      <c r="B41" s="13">
        <v>633.96400000000006</v>
      </c>
      <c r="C41" s="13">
        <v>576.60699999999997</v>
      </c>
      <c r="E41" s="14">
        <f t="shared" si="0"/>
        <v>40148</v>
      </c>
      <c r="F41" s="14">
        <v>40087</v>
      </c>
      <c r="G41" s="13">
        <f t="shared" si="1"/>
        <v>145.59100000000001</v>
      </c>
      <c r="H41" s="21">
        <f t="shared" si="2"/>
        <v>122.282</v>
      </c>
      <c r="J41" s="16"/>
      <c r="K41" s="16"/>
      <c r="L41" s="17"/>
      <c r="M41" s="17"/>
      <c r="N41"/>
      <c r="O41"/>
      <c r="P41"/>
      <c r="Q41"/>
      <c r="R41"/>
    </row>
    <row r="42" spans="1:18" ht="15" x14ac:dyDescent="0.25">
      <c r="A42" s="14">
        <v>38078</v>
      </c>
      <c r="B42" s="13">
        <v>792.28099999999995</v>
      </c>
      <c r="C42" s="13">
        <v>735.28099999999995</v>
      </c>
      <c r="E42" s="14">
        <f t="shared" si="0"/>
        <v>40238</v>
      </c>
      <c r="F42" s="14">
        <v>40179</v>
      </c>
      <c r="G42" s="13">
        <f t="shared" si="1"/>
        <v>156.10300000000001</v>
      </c>
      <c r="H42" s="21">
        <f t="shared" si="2"/>
        <v>131.06200000000001</v>
      </c>
      <c r="J42" s="16"/>
      <c r="K42" s="16"/>
      <c r="L42" s="17"/>
      <c r="M42" s="17"/>
      <c r="N42"/>
      <c r="O42"/>
      <c r="P42"/>
      <c r="Q42"/>
      <c r="R42"/>
    </row>
    <row r="43" spans="1:18" ht="15" x14ac:dyDescent="0.25">
      <c r="A43" s="14">
        <v>38108</v>
      </c>
      <c r="B43" s="13">
        <v>853.65800000000002</v>
      </c>
      <c r="C43" s="13">
        <v>805.596</v>
      </c>
      <c r="E43" s="14">
        <f t="shared" si="0"/>
        <v>40330</v>
      </c>
      <c r="F43" s="14">
        <v>40269</v>
      </c>
      <c r="G43" s="13">
        <f t="shared" si="1"/>
        <v>164.876</v>
      </c>
      <c r="H43" s="21">
        <f t="shared" si="2"/>
        <v>139.524</v>
      </c>
      <c r="J43" s="16"/>
      <c r="K43" s="16"/>
      <c r="L43" s="17"/>
      <c r="M43" s="17"/>
      <c r="N43"/>
      <c r="O43"/>
      <c r="P43"/>
      <c r="Q43"/>
      <c r="R43"/>
    </row>
    <row r="44" spans="1:18" ht="15" x14ac:dyDescent="0.25">
      <c r="A44" s="14">
        <v>38139</v>
      </c>
      <c r="B44" s="13">
        <v>763.28599999999994</v>
      </c>
      <c r="C44" s="13">
        <v>710.85299999999995</v>
      </c>
      <c r="E44" s="14">
        <f t="shared" si="0"/>
        <v>40422</v>
      </c>
      <c r="F44" s="14">
        <v>40360</v>
      </c>
      <c r="G44" s="13">
        <f t="shared" si="1"/>
        <v>142.80799999999999</v>
      </c>
      <c r="H44" s="21">
        <f t="shared" si="2"/>
        <v>116.06699999999999</v>
      </c>
      <c r="J44" s="16"/>
      <c r="K44" s="16"/>
      <c r="L44" s="17"/>
      <c r="M44" s="17"/>
      <c r="N44"/>
      <c r="O44"/>
      <c r="P44"/>
      <c r="Q44"/>
      <c r="R44"/>
    </row>
    <row r="45" spans="1:18" ht="15" x14ac:dyDescent="0.25">
      <c r="A45" s="14">
        <v>38169</v>
      </c>
      <c r="B45" s="13">
        <v>672.31100000000004</v>
      </c>
      <c r="C45" s="13">
        <v>609.76700000000005</v>
      </c>
      <c r="E45" s="14">
        <f t="shared" si="0"/>
        <v>40513</v>
      </c>
      <c r="F45" s="14">
        <v>40452</v>
      </c>
      <c r="G45" s="13">
        <f t="shared" si="1"/>
        <v>143.49700000000001</v>
      </c>
      <c r="H45" s="21">
        <f t="shared" si="2"/>
        <v>110.824</v>
      </c>
      <c r="J45" s="16"/>
      <c r="K45" s="16"/>
      <c r="L45" s="17"/>
      <c r="M45" s="17"/>
      <c r="N45"/>
      <c r="O45"/>
      <c r="P45"/>
      <c r="Q45"/>
      <c r="R45"/>
    </row>
    <row r="46" spans="1:18" ht="15" x14ac:dyDescent="0.25">
      <c r="A46" s="14">
        <v>38200</v>
      </c>
      <c r="B46" s="13">
        <v>553.01900000000001</v>
      </c>
      <c r="C46" s="13">
        <v>485.98700000000002</v>
      </c>
      <c r="E46" s="14">
        <f t="shared" si="0"/>
        <v>40603</v>
      </c>
      <c r="F46" s="14">
        <v>40544</v>
      </c>
      <c r="G46" s="13">
        <f t="shared" si="1"/>
        <v>153.66900000000001</v>
      </c>
      <c r="H46" s="21">
        <f t="shared" si="2"/>
        <v>111.042</v>
      </c>
      <c r="J46" s="16"/>
      <c r="K46" s="16"/>
      <c r="L46" s="17"/>
      <c r="M46" s="17"/>
      <c r="N46"/>
      <c r="O46"/>
      <c r="P46"/>
      <c r="Q46"/>
      <c r="R46"/>
    </row>
    <row r="47" spans="1:18" ht="15" x14ac:dyDescent="0.25">
      <c r="A47" s="14">
        <v>38231</v>
      </c>
      <c r="B47" s="13">
        <v>505.18299999999999</v>
      </c>
      <c r="C47" s="13">
        <v>436.10899999999998</v>
      </c>
      <c r="E47" s="14">
        <f t="shared" si="0"/>
        <v>40695</v>
      </c>
      <c r="F47" s="14">
        <v>40634</v>
      </c>
      <c r="G47" s="13">
        <f t="shared" si="1"/>
        <v>153.411</v>
      </c>
      <c r="H47" s="21">
        <f t="shared" si="2"/>
        <v>110.36199999999999</v>
      </c>
      <c r="J47" s="16"/>
      <c r="K47" s="16"/>
      <c r="L47" s="17"/>
      <c r="M47" s="17"/>
      <c r="N47"/>
      <c r="O47"/>
      <c r="P47"/>
      <c r="Q47"/>
      <c r="R47"/>
    </row>
    <row r="48" spans="1:18" ht="15" x14ac:dyDescent="0.25">
      <c r="A48" s="14">
        <v>38261</v>
      </c>
      <c r="B48" s="13">
        <v>501.48500000000001</v>
      </c>
      <c r="C48" s="13">
        <v>431.03199999999998</v>
      </c>
      <c r="E48" s="14">
        <f t="shared" si="0"/>
        <v>40787</v>
      </c>
      <c r="F48" s="14">
        <v>40725</v>
      </c>
      <c r="G48" s="13">
        <f t="shared" si="1"/>
        <v>229.392</v>
      </c>
      <c r="H48" s="21">
        <f t="shared" si="2"/>
        <v>200.01499999999999</v>
      </c>
      <c r="J48" s="16"/>
      <c r="K48" s="16"/>
      <c r="L48" s="17"/>
      <c r="M48" s="17"/>
      <c r="N48"/>
      <c r="O48"/>
      <c r="P48"/>
      <c r="Q48"/>
      <c r="R48"/>
    </row>
    <row r="49" spans="1:18" ht="15" x14ac:dyDescent="0.25">
      <c r="A49" s="14">
        <v>38292</v>
      </c>
      <c r="B49" s="13">
        <v>432.34</v>
      </c>
      <c r="C49" s="13">
        <v>361.25599999999997</v>
      </c>
      <c r="E49" s="14">
        <f t="shared" si="0"/>
        <v>40878</v>
      </c>
      <c r="F49" s="14">
        <v>40817</v>
      </c>
      <c r="G49" s="13">
        <f t="shared" si="1"/>
        <v>186.565</v>
      </c>
      <c r="H49" s="21">
        <f t="shared" si="2"/>
        <v>159.50899999999999</v>
      </c>
      <c r="J49" s="16"/>
      <c r="K49" s="16"/>
      <c r="L49" s="17"/>
      <c r="M49" s="17"/>
      <c r="N49"/>
      <c r="O49"/>
      <c r="P49"/>
      <c r="Q49"/>
      <c r="R49"/>
    </row>
    <row r="50" spans="1:18" ht="15" x14ac:dyDescent="0.25">
      <c r="A50" s="14">
        <v>38322</v>
      </c>
      <c r="B50" s="13">
        <v>376.00900000000001</v>
      </c>
      <c r="C50" s="13">
        <v>306.096</v>
      </c>
      <c r="E50" s="14">
        <f t="shared" si="0"/>
        <v>40969</v>
      </c>
      <c r="F50" s="14">
        <v>40909</v>
      </c>
      <c r="G50" s="13">
        <f t="shared" si="1"/>
        <v>156.02600000000001</v>
      </c>
      <c r="H50" s="21">
        <f t="shared" si="2"/>
        <v>120.601</v>
      </c>
      <c r="J50" s="16"/>
      <c r="K50" s="16"/>
      <c r="L50" s="17"/>
      <c r="M50" s="17"/>
      <c r="N50"/>
      <c r="O50"/>
      <c r="P50"/>
      <c r="Q50"/>
      <c r="R50"/>
    </row>
    <row r="51" spans="1:18" ht="15" x14ac:dyDescent="0.25">
      <c r="A51" s="14">
        <v>38353</v>
      </c>
      <c r="B51" s="13">
        <v>431.99299999999999</v>
      </c>
      <c r="C51" s="13">
        <v>357.38900000000001</v>
      </c>
      <c r="E51" s="14">
        <f t="shared" si="0"/>
        <v>41061</v>
      </c>
      <c r="F51" s="14">
        <v>41000</v>
      </c>
      <c r="G51" s="13">
        <f t="shared" si="1"/>
        <v>192.566</v>
      </c>
      <c r="H51" s="21">
        <f t="shared" si="2"/>
        <v>152.625</v>
      </c>
      <c r="J51" s="16"/>
      <c r="K51" s="16"/>
      <c r="L51" s="17"/>
      <c r="M51" s="17"/>
      <c r="N51"/>
      <c r="O51"/>
      <c r="P51"/>
      <c r="Q51"/>
      <c r="R51"/>
    </row>
    <row r="52" spans="1:18" ht="15" x14ac:dyDescent="0.25">
      <c r="A52" s="14">
        <v>38384</v>
      </c>
      <c r="B52" s="13">
        <v>396.61599999999999</v>
      </c>
      <c r="C52" s="13">
        <v>317.63099999999997</v>
      </c>
      <c r="E52" s="14">
        <f t="shared" si="0"/>
        <v>41153</v>
      </c>
      <c r="F52" s="14">
        <v>41091</v>
      </c>
      <c r="G52" s="13">
        <f t="shared" si="1"/>
        <v>150.554</v>
      </c>
      <c r="H52" s="21">
        <f t="shared" si="2"/>
        <v>112.32899999999999</v>
      </c>
      <c r="J52" s="16"/>
      <c r="K52" s="16"/>
      <c r="L52" s="17"/>
      <c r="M52" s="17"/>
      <c r="N52"/>
      <c r="O52"/>
      <c r="P52"/>
      <c r="Q52"/>
      <c r="R52"/>
    </row>
    <row r="53" spans="1:18" ht="15" x14ac:dyDescent="0.25">
      <c r="A53" s="14">
        <v>38412</v>
      </c>
      <c r="B53" s="13">
        <v>506.23099999999999</v>
      </c>
      <c r="C53" s="13">
        <v>429.46899999999999</v>
      </c>
      <c r="E53" s="14">
        <f t="shared" si="0"/>
        <v>41244</v>
      </c>
      <c r="F53" s="14">
        <v>41183</v>
      </c>
      <c r="G53" s="13">
        <f t="shared" si="1"/>
        <v>146.23699999999999</v>
      </c>
      <c r="H53" s="21">
        <f t="shared" si="2"/>
        <v>107.70399999999999</v>
      </c>
      <c r="J53" s="16"/>
      <c r="K53" s="16"/>
      <c r="L53" s="17"/>
      <c r="M53" s="17"/>
      <c r="N53"/>
      <c r="O53"/>
      <c r="P53"/>
      <c r="Q53"/>
      <c r="R53"/>
    </row>
    <row r="54" spans="1:18" ht="15" x14ac:dyDescent="0.25">
      <c r="A54" s="14">
        <v>38443</v>
      </c>
      <c r="B54" s="13">
        <v>497.43299999999999</v>
      </c>
      <c r="C54" s="13">
        <v>412.64100000000002</v>
      </c>
      <c r="E54" s="14">
        <f t="shared" si="0"/>
        <v>41334</v>
      </c>
      <c r="F54" s="14">
        <v>41275</v>
      </c>
      <c r="G54" s="13">
        <f t="shared" si="1"/>
        <v>180.60499999999999</v>
      </c>
      <c r="H54" s="21">
        <f t="shared" si="2"/>
        <v>137.43</v>
      </c>
      <c r="J54" s="16"/>
      <c r="K54" s="20"/>
      <c r="L54" s="17"/>
      <c r="M54" s="17"/>
      <c r="N54"/>
      <c r="O54"/>
      <c r="P54"/>
      <c r="Q54"/>
      <c r="R54"/>
    </row>
    <row r="55" spans="1:18" ht="15" x14ac:dyDescent="0.25">
      <c r="A55" s="14">
        <v>38473</v>
      </c>
      <c r="B55" s="13">
        <v>425.13400000000001</v>
      </c>
      <c r="C55" s="13">
        <v>334.572</v>
      </c>
      <c r="E55" s="14">
        <f t="shared" si="0"/>
        <v>41426</v>
      </c>
      <c r="F55" s="14">
        <v>41365</v>
      </c>
      <c r="G55" s="13">
        <f t="shared" si="1"/>
        <v>230.54499999999999</v>
      </c>
      <c r="H55" s="21">
        <f t="shared" si="2"/>
        <v>186.04</v>
      </c>
      <c r="J55" s="16"/>
      <c r="K55" s="20"/>
      <c r="L55" s="17"/>
      <c r="M55" s="17"/>
      <c r="N55"/>
      <c r="O55"/>
      <c r="P55"/>
      <c r="Q55"/>
      <c r="R55"/>
    </row>
    <row r="56" spans="1:18" ht="15" x14ac:dyDescent="0.25">
      <c r="A56" s="14">
        <v>38504</v>
      </c>
      <c r="B56" s="13">
        <v>413.25700000000001</v>
      </c>
      <c r="C56" s="13">
        <v>322.959</v>
      </c>
      <c r="E56" s="14">
        <f t="shared" si="0"/>
        <v>41518</v>
      </c>
      <c r="F56" s="14">
        <v>41456</v>
      </c>
      <c r="G56" s="13">
        <f t="shared" si="1"/>
        <v>222.68799999999999</v>
      </c>
      <c r="H56" s="21">
        <f t="shared" si="2"/>
        <v>177.13200000000001</v>
      </c>
      <c r="J56" s="16"/>
      <c r="K56" s="20"/>
      <c r="L56" s="17"/>
      <c r="M56" s="17"/>
      <c r="N56"/>
      <c r="O56"/>
      <c r="P56"/>
      <c r="Q56"/>
      <c r="R56"/>
    </row>
    <row r="57" spans="1:18" ht="15" x14ac:dyDescent="0.25">
      <c r="A57" s="14">
        <v>38534</v>
      </c>
      <c r="B57" s="13">
        <v>423.50700000000001</v>
      </c>
      <c r="C57" s="13">
        <v>329.17899999999997</v>
      </c>
      <c r="E57" s="14">
        <f t="shared" si="0"/>
        <v>41609</v>
      </c>
      <c r="F57" s="14">
        <v>41548</v>
      </c>
      <c r="G57" s="13">
        <f t="shared" si="1"/>
        <v>245.857</v>
      </c>
      <c r="H57" s="21">
        <f t="shared" si="2"/>
        <v>193</v>
      </c>
      <c r="J57" s="16"/>
      <c r="K57" s="20"/>
      <c r="L57" s="17"/>
      <c r="M57" s="17"/>
      <c r="N57"/>
      <c r="O57"/>
      <c r="P57"/>
      <c r="Q57"/>
      <c r="R57"/>
    </row>
    <row r="58" spans="1:18" ht="15" x14ac:dyDescent="0.25">
      <c r="A58" s="14">
        <v>38565</v>
      </c>
      <c r="B58" s="13">
        <v>438.05</v>
      </c>
      <c r="C58" s="13">
        <v>338.577</v>
      </c>
      <c r="E58" s="14">
        <f t="shared" si="0"/>
        <v>41699</v>
      </c>
      <c r="F58" s="14">
        <v>41640</v>
      </c>
      <c r="G58" s="13">
        <f t="shared" si="1"/>
        <v>226</v>
      </c>
      <c r="H58" s="21">
        <f t="shared" si="2"/>
        <v>171</v>
      </c>
      <c r="J58" s="16"/>
      <c r="K58" s="20"/>
      <c r="L58" s="17"/>
      <c r="M58" s="17"/>
      <c r="N58"/>
      <c r="O58"/>
      <c r="P58"/>
      <c r="Q58"/>
      <c r="R58"/>
    </row>
    <row r="59" spans="1:18" ht="15" x14ac:dyDescent="0.25">
      <c r="A59" s="14">
        <v>38596</v>
      </c>
      <c r="B59" s="13">
        <v>333.37599999999998</v>
      </c>
      <c r="C59" s="13">
        <v>247.762</v>
      </c>
      <c r="E59" s="14">
        <f t="shared" si="0"/>
        <v>41791</v>
      </c>
      <c r="F59" s="14">
        <v>41730</v>
      </c>
      <c r="G59" s="13">
        <f t="shared" si="1"/>
        <v>200.06899999999999</v>
      </c>
      <c r="H59" s="21">
        <f t="shared" si="2"/>
        <v>143.69499999999999</v>
      </c>
      <c r="J59" s="16"/>
      <c r="K59" s="20"/>
      <c r="L59" s="17"/>
      <c r="M59" s="17"/>
      <c r="N59"/>
      <c r="O59"/>
      <c r="P59"/>
      <c r="Q59"/>
      <c r="R59"/>
    </row>
    <row r="60" spans="1:18" ht="15" x14ac:dyDescent="0.25">
      <c r="A60" s="14">
        <v>38626</v>
      </c>
      <c r="B60" s="13">
        <v>361.19299999999998</v>
      </c>
      <c r="C60" s="13">
        <v>276.86900000000003</v>
      </c>
      <c r="E60" s="14">
        <f t="shared" si="0"/>
        <v>41883</v>
      </c>
      <c r="F60" s="14">
        <v>41821</v>
      </c>
      <c r="G60" s="13">
        <f t="shared" si="1"/>
        <v>237.67500000000001</v>
      </c>
      <c r="H60" s="21">
        <f t="shared" si="2"/>
        <v>176.197</v>
      </c>
      <c r="J60" s="16"/>
      <c r="K60" s="20"/>
      <c r="L60" s="17"/>
      <c r="M60" s="17"/>
      <c r="N60"/>
      <c r="O60"/>
      <c r="P60"/>
      <c r="Q60"/>
      <c r="R60"/>
    </row>
    <row r="61" spans="1:18" ht="15" x14ac:dyDescent="0.25">
      <c r="A61" s="14">
        <v>38657</v>
      </c>
      <c r="B61" s="13">
        <v>336.21199999999999</v>
      </c>
      <c r="C61" s="13">
        <v>253.547</v>
      </c>
      <c r="E61" s="14">
        <f t="shared" si="0"/>
        <v>41974</v>
      </c>
      <c r="F61" s="14">
        <v>41913</v>
      </c>
      <c r="G61" s="13">
        <f t="shared" si="1"/>
        <v>255.035</v>
      </c>
      <c r="H61" s="21">
        <f t="shared" si="2"/>
        <v>197.547</v>
      </c>
      <c r="J61" s="16"/>
      <c r="K61" s="20"/>
      <c r="L61" s="17"/>
      <c r="M61" s="17"/>
      <c r="N61"/>
      <c r="O61"/>
      <c r="P61"/>
      <c r="Q61"/>
      <c r="R61"/>
    </row>
    <row r="62" spans="1:18" ht="15" x14ac:dyDescent="0.25">
      <c r="A62" s="14">
        <v>38687</v>
      </c>
      <c r="B62" s="13">
        <v>299.32</v>
      </c>
      <c r="C62" s="13">
        <v>223.19300000000001</v>
      </c>
      <c r="E62" s="14">
        <f t="shared" si="0"/>
        <v>42064</v>
      </c>
      <c r="F62" s="14">
        <v>42005</v>
      </c>
      <c r="G62" s="13">
        <f t="shared" si="1"/>
        <v>332.41699999999997</v>
      </c>
      <c r="H62" s="21">
        <f t="shared" si="2"/>
        <v>281.64999999999998</v>
      </c>
      <c r="J62" s="16"/>
      <c r="K62" s="20"/>
      <c r="L62" s="17"/>
      <c r="M62" s="17"/>
      <c r="N62"/>
      <c r="O62"/>
      <c r="P62"/>
      <c r="Q62"/>
      <c r="R62"/>
    </row>
    <row r="63" spans="1:18" ht="15" x14ac:dyDescent="0.25">
      <c r="A63" s="14">
        <v>38718</v>
      </c>
      <c r="B63" s="13">
        <v>248.404</v>
      </c>
      <c r="C63" s="13">
        <v>177.14599999999999</v>
      </c>
      <c r="E63" s="14">
        <f t="shared" si="0"/>
        <v>42156</v>
      </c>
      <c r="F63" s="14">
        <v>42095</v>
      </c>
      <c r="G63" s="13">
        <f t="shared" si="1"/>
        <v>325</v>
      </c>
      <c r="H63" s="21">
        <f t="shared" si="2"/>
        <v>261</v>
      </c>
      <c r="J63" s="16"/>
      <c r="K63" s="20"/>
      <c r="L63" s="17"/>
      <c r="M63" s="17"/>
      <c r="N63"/>
      <c r="O63"/>
      <c r="P63"/>
      <c r="Q63"/>
      <c r="R63"/>
    </row>
    <row r="64" spans="1:18" ht="15" x14ac:dyDescent="0.25">
      <c r="A64" s="14">
        <v>38749</v>
      </c>
      <c r="B64" s="13">
        <v>174.38300000000001</v>
      </c>
      <c r="C64" s="13">
        <v>110.69499999999999</v>
      </c>
      <c r="E64" s="14">
        <f t="shared" si="0"/>
        <v>42248</v>
      </c>
      <c r="F64" s="14">
        <v>42186</v>
      </c>
      <c r="G64" s="13">
        <f t="shared" si="1"/>
        <v>505</v>
      </c>
      <c r="H64" s="21">
        <f t="shared" si="2"/>
        <v>477</v>
      </c>
      <c r="J64" s="16"/>
      <c r="K64" s="20"/>
      <c r="L64" s="17"/>
      <c r="M64" s="17"/>
      <c r="N64"/>
      <c r="O64"/>
      <c r="P64"/>
      <c r="Q64"/>
      <c r="R64"/>
    </row>
    <row r="65" spans="1:18" ht="15" x14ac:dyDescent="0.25">
      <c r="A65" s="14">
        <v>38777</v>
      </c>
      <c r="B65" s="13">
        <v>216.672</v>
      </c>
      <c r="C65" s="13">
        <v>146.982</v>
      </c>
      <c r="E65" s="14">
        <f t="shared" si="0"/>
        <v>42339</v>
      </c>
      <c r="F65" s="14">
        <v>42278</v>
      </c>
      <c r="G65" s="13">
        <f t="shared" si="1"/>
        <v>553.85900000000004</v>
      </c>
      <c r="H65" s="21">
        <f t="shared" si="2"/>
        <v>500</v>
      </c>
      <c r="J65" s="16"/>
      <c r="K65" s="20"/>
      <c r="L65" s="17"/>
      <c r="M65" s="17"/>
      <c r="N65"/>
      <c r="O65"/>
      <c r="P65"/>
      <c r="Q65"/>
      <c r="R65"/>
    </row>
    <row r="66" spans="1:18" ht="15" x14ac:dyDescent="0.25">
      <c r="A66" s="14">
        <v>38808</v>
      </c>
      <c r="B66" s="13">
        <v>195.77199999999999</v>
      </c>
      <c r="C66" s="13">
        <v>124.735</v>
      </c>
      <c r="E66" s="14">
        <f t="shared" si="0"/>
        <v>42430</v>
      </c>
      <c r="F66" s="14">
        <v>42370</v>
      </c>
      <c r="G66" s="13">
        <f t="shared" si="1"/>
        <v>437.983</v>
      </c>
      <c r="H66" s="21">
        <f t="shared" si="2"/>
        <v>367</v>
      </c>
      <c r="J66" s="16"/>
      <c r="K66" s="20"/>
      <c r="L66" s="17"/>
      <c r="M66" s="17"/>
      <c r="N66"/>
      <c r="O66"/>
      <c r="P66"/>
      <c r="Q66"/>
      <c r="R66"/>
    </row>
    <row r="67" spans="1:18" ht="15" x14ac:dyDescent="0.25">
      <c r="A67" s="14">
        <v>38838</v>
      </c>
      <c r="B67" s="13">
        <v>271.88600000000002</v>
      </c>
      <c r="C67" s="13">
        <v>190.34</v>
      </c>
      <c r="E67" s="14">
        <f t="shared" si="0"/>
        <v>42522</v>
      </c>
      <c r="F67" s="14">
        <v>42461</v>
      </c>
      <c r="G67" s="13">
        <f t="shared" si="1"/>
        <v>390</v>
      </c>
      <c r="H67" s="21">
        <f t="shared" si="2"/>
        <v>315</v>
      </c>
      <c r="J67" s="16"/>
      <c r="K67" s="20"/>
      <c r="L67" s="17"/>
      <c r="M67" s="17"/>
      <c r="N67"/>
      <c r="O67"/>
      <c r="P67"/>
      <c r="Q67"/>
      <c r="R67"/>
    </row>
    <row r="68" spans="1:18" ht="15" x14ac:dyDescent="0.25">
      <c r="A68" s="14">
        <v>38869</v>
      </c>
      <c r="B68" s="13">
        <v>257.42700000000002</v>
      </c>
      <c r="C68" s="13">
        <v>171.42</v>
      </c>
      <c r="E68" s="14">
        <f t="shared" si="0"/>
        <v>42614</v>
      </c>
      <c r="F68" s="14">
        <v>42552</v>
      </c>
      <c r="G68" s="13">
        <f t="shared" si="1"/>
        <v>346</v>
      </c>
      <c r="H68" s="21">
        <f t="shared" si="2"/>
        <v>272</v>
      </c>
      <c r="J68" s="16"/>
      <c r="K68" s="20"/>
      <c r="L68" s="17"/>
      <c r="M68" s="17"/>
      <c r="N68"/>
      <c r="O68"/>
      <c r="P68"/>
      <c r="Q68"/>
      <c r="R68"/>
    </row>
    <row r="69" spans="1:18" ht="15" x14ac:dyDescent="0.25">
      <c r="A69" s="14">
        <v>38899</v>
      </c>
      <c r="B69" s="13">
        <v>215.614</v>
      </c>
      <c r="C69" s="13">
        <v>137.55600000000001</v>
      </c>
      <c r="E69" s="14">
        <f t="shared" si="0"/>
        <v>42705</v>
      </c>
      <c r="F69" s="14">
        <v>42644</v>
      </c>
      <c r="G69" s="13">
        <f t="shared" si="1"/>
        <v>359</v>
      </c>
      <c r="H69" s="21">
        <f t="shared" si="2"/>
        <v>280.5</v>
      </c>
      <c r="J69" s="16"/>
      <c r="K69" s="20"/>
      <c r="L69" s="17"/>
      <c r="M69" s="17"/>
      <c r="N69"/>
      <c r="O69"/>
      <c r="P69"/>
      <c r="Q69"/>
      <c r="R69"/>
    </row>
    <row r="70" spans="1:18" ht="15" x14ac:dyDescent="0.25">
      <c r="A70" s="14">
        <v>38930</v>
      </c>
      <c r="B70" s="13">
        <v>196.71299999999999</v>
      </c>
      <c r="C70" s="13">
        <v>122.452</v>
      </c>
      <c r="E70" s="14">
        <f t="shared" si="0"/>
        <v>42795</v>
      </c>
      <c r="F70" s="14">
        <v>42736</v>
      </c>
      <c r="G70" s="13">
        <f t="shared" si="1"/>
        <v>316</v>
      </c>
      <c r="H70" s="21">
        <f t="shared" si="2"/>
        <v>225</v>
      </c>
      <c r="J70" s="16"/>
      <c r="K70" s="20"/>
      <c r="L70" s="17"/>
      <c r="M70" s="17"/>
      <c r="N70"/>
      <c r="O70"/>
      <c r="P70"/>
      <c r="Q70"/>
      <c r="R70"/>
    </row>
    <row r="71" spans="1:18" ht="15" x14ac:dyDescent="0.25">
      <c r="A71" s="14">
        <v>38961</v>
      </c>
      <c r="B71" s="13">
        <v>209.21</v>
      </c>
      <c r="C71" s="13">
        <v>134.203</v>
      </c>
      <c r="E71" s="14">
        <f t="shared" ref="E71:E108" si="3">EDATE(F71,2)</f>
        <v>42887</v>
      </c>
      <c r="F71" s="14">
        <v>42826</v>
      </c>
      <c r="G71" s="13">
        <f t="shared" ref="G71:G108" si="4">VLOOKUP(E71,$A:$C,2,FALSE)</f>
        <v>345</v>
      </c>
      <c r="H71" s="21">
        <f t="shared" ref="H71:H108" si="5">VLOOKUP(E71,$A:$C,3,FALSE)</f>
        <v>241</v>
      </c>
      <c r="J71" s="16"/>
      <c r="K71" s="20"/>
      <c r="L71" s="17"/>
      <c r="M71" s="17"/>
      <c r="N71"/>
      <c r="O71"/>
      <c r="P71"/>
      <c r="Q71"/>
      <c r="R71"/>
    </row>
    <row r="72" spans="1:18" ht="15" x14ac:dyDescent="0.25">
      <c r="A72" s="14">
        <v>38991</v>
      </c>
      <c r="B72" s="13">
        <v>181.84</v>
      </c>
      <c r="C72" s="13">
        <v>115.202</v>
      </c>
      <c r="E72" s="14">
        <f t="shared" si="3"/>
        <v>42979</v>
      </c>
      <c r="F72" s="14">
        <v>42917</v>
      </c>
      <c r="G72" s="13">
        <f t="shared" si="4"/>
        <v>303</v>
      </c>
      <c r="H72" s="21">
        <f t="shared" si="5"/>
        <v>195</v>
      </c>
      <c r="J72" s="16"/>
      <c r="K72" s="20"/>
      <c r="L72" s="17"/>
      <c r="M72" s="17"/>
      <c r="N72"/>
      <c r="O72"/>
      <c r="P72"/>
      <c r="Q72"/>
      <c r="R72"/>
    </row>
    <row r="73" spans="1:18" ht="15" x14ac:dyDescent="0.25">
      <c r="A73" s="14">
        <v>39022</v>
      </c>
      <c r="B73" s="13">
        <v>173.565</v>
      </c>
      <c r="C73" s="13">
        <v>109.878</v>
      </c>
      <c r="E73" s="14">
        <f t="shared" si="3"/>
        <v>43070</v>
      </c>
      <c r="F73" s="14">
        <v>43009</v>
      </c>
      <c r="G73" s="13">
        <f t="shared" si="4"/>
        <v>257</v>
      </c>
      <c r="H73" s="21">
        <f t="shared" si="5"/>
        <v>161</v>
      </c>
      <c r="J73" s="16"/>
      <c r="K73" s="20"/>
      <c r="L73" s="17"/>
      <c r="M73" s="17"/>
      <c r="N73"/>
      <c r="O73"/>
      <c r="P73"/>
      <c r="Q73"/>
      <c r="R73"/>
    </row>
    <row r="74" spans="1:18" ht="15" x14ac:dyDescent="0.25">
      <c r="A74" s="14">
        <v>39052</v>
      </c>
      <c r="B74" s="13">
        <v>157.22499999999999</v>
      </c>
      <c r="C74" s="13">
        <v>99.765900000000002</v>
      </c>
      <c r="E74" s="14">
        <f t="shared" si="3"/>
        <v>43160</v>
      </c>
      <c r="F74" s="14">
        <v>43101</v>
      </c>
      <c r="G74" s="13">
        <f t="shared" si="4"/>
        <v>261</v>
      </c>
      <c r="H74" s="21">
        <f t="shared" si="5"/>
        <v>163</v>
      </c>
      <c r="J74" s="16"/>
      <c r="K74" s="20"/>
      <c r="L74" s="17"/>
      <c r="M74" s="17"/>
      <c r="N74"/>
      <c r="O74"/>
      <c r="P74"/>
      <c r="Q74"/>
      <c r="R74"/>
    </row>
    <row r="75" spans="1:18" ht="15" x14ac:dyDescent="0.25">
      <c r="A75" s="14">
        <v>39083</v>
      </c>
      <c r="B75" s="13">
        <v>156.5</v>
      </c>
      <c r="C75" s="13">
        <v>98.623900000000006</v>
      </c>
      <c r="E75" s="14">
        <f t="shared" si="3"/>
        <v>43252</v>
      </c>
      <c r="F75" s="14">
        <v>43191</v>
      </c>
      <c r="G75" s="13">
        <f t="shared" si="4"/>
        <v>386</v>
      </c>
      <c r="H75" s="21">
        <f t="shared" si="5"/>
        <v>275</v>
      </c>
      <c r="J75" s="16"/>
      <c r="K75" s="20"/>
      <c r="L75" s="17"/>
      <c r="M75" s="17"/>
      <c r="N75"/>
      <c r="O75"/>
      <c r="P75"/>
      <c r="Q75"/>
      <c r="R75"/>
    </row>
    <row r="76" spans="1:18" ht="15" x14ac:dyDescent="0.25">
      <c r="A76" s="14">
        <v>39114</v>
      </c>
      <c r="B76" s="13">
        <v>150.38999999999999</v>
      </c>
      <c r="C76" s="13">
        <v>95.52</v>
      </c>
      <c r="E76" s="14">
        <f t="shared" si="3"/>
        <v>43344</v>
      </c>
      <c r="F76" s="14">
        <v>43282</v>
      </c>
      <c r="G76" s="13">
        <f t="shared" si="4"/>
        <v>351</v>
      </c>
      <c r="H76" s="21">
        <f t="shared" si="5"/>
        <v>265</v>
      </c>
      <c r="J76" s="16"/>
      <c r="K76" s="20"/>
      <c r="L76" s="17"/>
      <c r="M76" s="17"/>
      <c r="N76"/>
      <c r="O76"/>
      <c r="P76"/>
      <c r="Q76"/>
      <c r="R76"/>
    </row>
    <row r="77" spans="1:18" ht="15" x14ac:dyDescent="0.25">
      <c r="A77" s="14">
        <v>39142</v>
      </c>
      <c r="B77" s="13">
        <v>133.50800000000001</v>
      </c>
      <c r="C77" s="13">
        <v>83.590999999999994</v>
      </c>
      <c r="E77" s="14">
        <f t="shared" si="3"/>
        <v>43435</v>
      </c>
      <c r="F77" s="14">
        <v>43374</v>
      </c>
      <c r="G77" s="13">
        <f t="shared" si="4"/>
        <v>272.31400000000002</v>
      </c>
      <c r="H77" s="21">
        <f t="shared" si="5"/>
        <v>203.62</v>
      </c>
      <c r="J77" s="16"/>
      <c r="K77" s="20"/>
      <c r="L77" s="17"/>
      <c r="M77" s="17"/>
      <c r="N77"/>
      <c r="O77"/>
      <c r="P77"/>
      <c r="Q77"/>
      <c r="R77"/>
    </row>
    <row r="78" spans="1:18" ht="15" x14ac:dyDescent="0.25">
      <c r="A78" s="14">
        <v>39173</v>
      </c>
      <c r="B78" s="13">
        <v>111.999</v>
      </c>
      <c r="C78" s="13">
        <v>71.198999999999998</v>
      </c>
      <c r="E78" s="14">
        <f t="shared" si="3"/>
        <v>43525</v>
      </c>
      <c r="F78" s="14">
        <v>43466</v>
      </c>
      <c r="G78" s="13">
        <f t="shared" si="4"/>
        <v>251.70599999999999</v>
      </c>
      <c r="H78" s="21">
        <f t="shared" si="5"/>
        <v>174.34200000000001</v>
      </c>
      <c r="J78" s="16"/>
      <c r="K78" s="20"/>
      <c r="L78" s="17"/>
      <c r="M78" s="17"/>
      <c r="N78"/>
      <c r="O78"/>
      <c r="P78"/>
      <c r="Q78"/>
      <c r="R78"/>
    </row>
    <row r="79" spans="1:18" ht="15" x14ac:dyDescent="0.25">
      <c r="A79" s="14">
        <v>39203</v>
      </c>
      <c r="B79" s="13">
        <v>97.311400000000006</v>
      </c>
      <c r="C79" s="13">
        <v>62.0749</v>
      </c>
      <c r="E79" s="14">
        <f t="shared" si="3"/>
        <v>43617</v>
      </c>
      <c r="F79" s="14">
        <v>43556</v>
      </c>
      <c r="G79" s="13">
        <f t="shared" si="4"/>
        <v>231.73</v>
      </c>
      <c r="H79" s="21">
        <f t="shared" si="5"/>
        <v>149.03299999999999</v>
      </c>
      <c r="J79" s="16"/>
      <c r="K79" s="20"/>
      <c r="L79" s="17"/>
      <c r="M79" s="17"/>
      <c r="N79"/>
      <c r="O79"/>
      <c r="P79"/>
      <c r="Q79"/>
      <c r="R79"/>
    </row>
    <row r="80" spans="1:18" ht="15" x14ac:dyDescent="0.25">
      <c r="A80" s="14">
        <v>39234</v>
      </c>
      <c r="B80" s="13">
        <v>108.06</v>
      </c>
      <c r="C80" s="13">
        <v>74.676400000000001</v>
      </c>
      <c r="E80" s="14">
        <f t="shared" si="3"/>
        <v>43709</v>
      </c>
      <c r="F80" s="14">
        <v>43647</v>
      </c>
      <c r="G80" s="13">
        <f t="shared" si="4"/>
        <v>212.49299999999999</v>
      </c>
      <c r="H80" s="21">
        <f t="shared" si="5"/>
        <v>135.25800000000001</v>
      </c>
      <c r="J80" s="16"/>
      <c r="K80" s="20"/>
      <c r="L80" s="17"/>
      <c r="M80" s="17"/>
      <c r="N80"/>
      <c r="O80"/>
      <c r="P80"/>
      <c r="Q80"/>
      <c r="R80"/>
    </row>
    <row r="81" spans="1:18" ht="15" x14ac:dyDescent="0.25">
      <c r="A81" s="14">
        <v>39264</v>
      </c>
      <c r="B81" s="13">
        <v>166.55199999999999</v>
      </c>
      <c r="C81" s="13">
        <v>118.657</v>
      </c>
      <c r="E81" s="14">
        <f t="shared" si="3"/>
        <v>43800</v>
      </c>
      <c r="F81" s="14">
        <v>43739</v>
      </c>
      <c r="G81" s="13">
        <f t="shared" si="4"/>
        <v>175.762</v>
      </c>
      <c r="H81" s="21">
        <f t="shared" si="5"/>
        <v>99.016099999999994</v>
      </c>
      <c r="J81" s="16"/>
      <c r="K81" s="20"/>
      <c r="L81" s="17"/>
      <c r="M81" s="17"/>
      <c r="N81"/>
      <c r="O81"/>
      <c r="P81"/>
      <c r="Q81"/>
      <c r="R81"/>
    </row>
    <row r="82" spans="1:18" ht="15" x14ac:dyDescent="0.25">
      <c r="A82" s="14">
        <v>39295</v>
      </c>
      <c r="B82" s="13">
        <v>143.185</v>
      </c>
      <c r="C82" s="13">
        <v>103.346</v>
      </c>
      <c r="E82" s="14">
        <f t="shared" si="3"/>
        <v>43891</v>
      </c>
      <c r="F82" s="14">
        <v>43831</v>
      </c>
      <c r="G82" s="13">
        <f t="shared" si="4"/>
        <v>341.209</v>
      </c>
      <c r="H82" s="21">
        <f t="shared" si="5"/>
        <v>269.75299999999999</v>
      </c>
      <c r="J82" s="16"/>
      <c r="K82" s="20"/>
      <c r="L82" s="17"/>
      <c r="M82" s="17"/>
      <c r="N82"/>
      <c r="O82"/>
      <c r="P82"/>
      <c r="Q82"/>
      <c r="R82"/>
    </row>
    <row r="83" spans="1:18" ht="15" x14ac:dyDescent="0.25">
      <c r="A83" s="14">
        <v>39326</v>
      </c>
      <c r="B83" s="13">
        <v>121.27500000000001</v>
      </c>
      <c r="C83" s="13">
        <v>85.3797</v>
      </c>
      <c r="E83" s="14">
        <f t="shared" si="3"/>
        <v>43983</v>
      </c>
      <c r="F83" s="14">
        <v>43922</v>
      </c>
      <c r="G83" s="13">
        <f t="shared" si="4"/>
        <v>312.74900000000002</v>
      </c>
      <c r="H83" s="21">
        <f t="shared" si="5"/>
        <v>246.28399999999999</v>
      </c>
      <c r="J83" s="16"/>
      <c r="K83" s="20"/>
      <c r="L83" s="17"/>
      <c r="M83" s="17"/>
      <c r="N83"/>
      <c r="O83"/>
      <c r="P83"/>
      <c r="Q83"/>
      <c r="R83"/>
    </row>
    <row r="84" spans="1:18" ht="15" x14ac:dyDescent="0.25">
      <c r="A84" s="14">
        <v>39356</v>
      </c>
      <c r="B84" s="13">
        <v>116.843</v>
      </c>
      <c r="C84" s="13">
        <v>81.340400000000002</v>
      </c>
      <c r="E84" s="14">
        <f t="shared" si="3"/>
        <v>44075</v>
      </c>
      <c r="F84" s="14">
        <v>44013</v>
      </c>
      <c r="G84" s="13">
        <f t="shared" si="4"/>
        <v>312.56</v>
      </c>
      <c r="H84" s="21">
        <f t="shared" si="5"/>
        <v>244.38300000000001</v>
      </c>
      <c r="J84" s="16"/>
      <c r="K84" s="20"/>
      <c r="L84" s="17"/>
      <c r="M84" s="17"/>
      <c r="N84"/>
      <c r="O84"/>
      <c r="P84"/>
      <c r="Q84"/>
      <c r="R84"/>
    </row>
    <row r="85" spans="1:18" ht="15" x14ac:dyDescent="0.25">
      <c r="A85" s="14">
        <v>39387</v>
      </c>
      <c r="B85" s="13">
        <v>131.71100000000001</v>
      </c>
      <c r="C85" s="13">
        <v>97.087599999999995</v>
      </c>
      <c r="E85" s="14">
        <f t="shared" si="3"/>
        <v>44166</v>
      </c>
      <c r="F85" s="14">
        <v>44105</v>
      </c>
      <c r="G85" s="13">
        <f t="shared" si="4"/>
        <v>210.55199999999999</v>
      </c>
      <c r="H85" s="21">
        <f t="shared" si="5"/>
        <v>142.21700000000001</v>
      </c>
      <c r="J85" s="16"/>
      <c r="K85" s="20"/>
      <c r="L85" s="17"/>
      <c r="M85" s="17"/>
      <c r="N85"/>
      <c r="O85"/>
      <c r="P85"/>
      <c r="Q85"/>
      <c r="R85"/>
    </row>
    <row r="86" spans="1:18" ht="15" x14ac:dyDescent="0.25">
      <c r="A86" s="14">
        <v>39417</v>
      </c>
      <c r="B86" s="13">
        <v>136.35499999999999</v>
      </c>
      <c r="C86" s="13">
        <v>101.148</v>
      </c>
      <c r="E86" s="14">
        <f t="shared" si="3"/>
        <v>44256</v>
      </c>
      <c r="F86" s="14">
        <v>44197</v>
      </c>
      <c r="G86" s="13">
        <f t="shared" si="4"/>
        <v>293.67</v>
      </c>
      <c r="H86" s="21">
        <f t="shared" si="5"/>
        <v>220.10499999999999</v>
      </c>
      <c r="J86" s="16"/>
      <c r="K86" s="20"/>
      <c r="L86" s="17"/>
      <c r="M86" s="17"/>
      <c r="N86"/>
      <c r="O86"/>
      <c r="P86"/>
      <c r="Q86"/>
      <c r="R86"/>
    </row>
    <row r="87" spans="1:18" ht="15" x14ac:dyDescent="0.25">
      <c r="A87" s="14">
        <v>39448</v>
      </c>
      <c r="B87" s="13">
        <v>173.089</v>
      </c>
      <c r="C87" s="13">
        <v>135.07300000000001</v>
      </c>
      <c r="E87" s="14">
        <f t="shared" si="3"/>
        <v>44348</v>
      </c>
      <c r="F87" s="14">
        <v>44287</v>
      </c>
      <c r="G87" s="13">
        <f t="shared" si="4"/>
        <v>245.89500000000001</v>
      </c>
      <c r="H87" s="21">
        <f t="shared" si="5"/>
        <v>163.68600000000001</v>
      </c>
      <c r="J87" s="16"/>
      <c r="K87" s="20"/>
      <c r="L87" s="17"/>
      <c r="M87" s="17"/>
      <c r="N87"/>
      <c r="O87"/>
      <c r="P87"/>
      <c r="Q87"/>
      <c r="R87"/>
    </row>
    <row r="88" spans="1:18" ht="15" x14ac:dyDescent="0.25">
      <c r="A88" s="14">
        <v>39479</v>
      </c>
      <c r="B88" s="13">
        <v>189.15799999999999</v>
      </c>
      <c r="C88" s="13">
        <v>150.59100000000001</v>
      </c>
      <c r="E88" s="14">
        <f t="shared" si="3"/>
        <v>44440</v>
      </c>
      <c r="F88" s="14">
        <v>44378</v>
      </c>
      <c r="G88" s="13">
        <f t="shared" si="4"/>
        <v>287.90699999999998</v>
      </c>
      <c r="H88" s="21">
        <f t="shared" si="5"/>
        <v>203.571</v>
      </c>
      <c r="J88" s="16"/>
      <c r="K88" s="20"/>
      <c r="L88" s="17"/>
      <c r="M88" s="17"/>
      <c r="N88"/>
      <c r="O88"/>
      <c r="P88"/>
      <c r="Q88"/>
      <c r="R88"/>
    </row>
    <row r="89" spans="1:18" ht="15" x14ac:dyDescent="0.25">
      <c r="A89" s="14">
        <v>39508</v>
      </c>
      <c r="B89" s="13">
        <v>222.583</v>
      </c>
      <c r="C89" s="13">
        <v>177.482</v>
      </c>
      <c r="E89" s="14">
        <f t="shared" si="3"/>
        <v>44531</v>
      </c>
      <c r="F89" s="14">
        <v>44470</v>
      </c>
      <c r="G89" s="13">
        <f t="shared" si="4"/>
        <v>282.76799999999997</v>
      </c>
      <c r="H89" s="21">
        <f t="shared" si="5"/>
        <v>203.554</v>
      </c>
      <c r="J89" s="16"/>
      <c r="K89" s="20"/>
      <c r="L89" s="17"/>
      <c r="M89" s="17"/>
      <c r="N89"/>
      <c r="O89"/>
      <c r="P89"/>
      <c r="Q89"/>
      <c r="R89"/>
    </row>
    <row r="90" spans="1:18" ht="15" x14ac:dyDescent="0.25">
      <c r="A90" s="14">
        <v>39539</v>
      </c>
      <c r="B90" s="13">
        <v>156.006</v>
      </c>
      <c r="C90" s="13">
        <v>113.834</v>
      </c>
      <c r="E90" s="14">
        <f t="shared" si="3"/>
        <v>44621</v>
      </c>
      <c r="F90" s="14">
        <v>44562</v>
      </c>
      <c r="G90" s="13">
        <f t="shared" si="4"/>
        <v>284.43200000000002</v>
      </c>
      <c r="H90" s="21">
        <f t="shared" si="5"/>
        <v>206.13900000000001</v>
      </c>
      <c r="J90" s="16"/>
      <c r="K90" s="20"/>
      <c r="L90" s="17"/>
      <c r="M90" s="17"/>
      <c r="N90"/>
      <c r="O90"/>
      <c r="P90"/>
      <c r="Q90"/>
      <c r="R90"/>
    </row>
    <row r="91" spans="1:18" ht="15" x14ac:dyDescent="0.25">
      <c r="A91" s="14">
        <v>39569</v>
      </c>
      <c r="B91" s="13">
        <v>115.446</v>
      </c>
      <c r="C91" s="13">
        <v>85.547200000000004</v>
      </c>
      <c r="E91" s="14">
        <f t="shared" si="3"/>
        <v>44713</v>
      </c>
      <c r="F91" s="14">
        <v>44652</v>
      </c>
      <c r="G91" s="13">
        <f t="shared" si="4"/>
        <v>373.42200000000003</v>
      </c>
      <c r="H91" s="21">
        <f t="shared" si="5"/>
        <v>290.56400000000002</v>
      </c>
      <c r="J91" s="16"/>
      <c r="K91" s="20"/>
      <c r="L91" s="17"/>
      <c r="M91" s="17"/>
      <c r="N91"/>
      <c r="O91"/>
      <c r="P91"/>
      <c r="Q91"/>
      <c r="R91"/>
    </row>
    <row r="92" spans="1:18" ht="15" x14ac:dyDescent="0.25">
      <c r="A92" s="14">
        <v>39600</v>
      </c>
      <c r="B92" s="13">
        <v>154.44</v>
      </c>
      <c r="C92" s="13">
        <v>119.889</v>
      </c>
      <c r="E92" s="14">
        <f t="shared" si="3"/>
        <v>44805</v>
      </c>
      <c r="F92" s="14">
        <v>44743</v>
      </c>
      <c r="G92" s="13">
        <f t="shared" si="4"/>
        <v>387.12400000000002</v>
      </c>
      <c r="H92" s="21">
        <f t="shared" si="5"/>
        <v>304.43299999999999</v>
      </c>
      <c r="J92" s="16"/>
      <c r="K92" s="20"/>
      <c r="L92" s="17"/>
      <c r="M92" s="17"/>
      <c r="N92"/>
      <c r="O92"/>
      <c r="P92"/>
      <c r="Q92"/>
      <c r="R92"/>
    </row>
    <row r="93" spans="1:18" ht="15" x14ac:dyDescent="0.25">
      <c r="A93" s="14">
        <v>39630</v>
      </c>
      <c r="B93" s="13">
        <v>151.86099999999999</v>
      </c>
      <c r="C93" s="13">
        <v>116.93600000000001</v>
      </c>
      <c r="E93" s="14">
        <f t="shared" si="3"/>
        <v>44896</v>
      </c>
      <c r="F93" s="14">
        <v>44835</v>
      </c>
      <c r="G93" s="13">
        <f t="shared" si="4"/>
        <v>335.37099999999998</v>
      </c>
      <c r="H93" s="21">
        <f t="shared" si="5"/>
        <v>251.50200000000001</v>
      </c>
      <c r="J93" s="16"/>
      <c r="K93" s="20"/>
      <c r="L93" s="17"/>
      <c r="M93" s="17"/>
      <c r="N93"/>
      <c r="O93"/>
      <c r="P93"/>
      <c r="Q93"/>
      <c r="R93"/>
    </row>
    <row r="94" spans="1:18" ht="15" x14ac:dyDescent="0.25">
      <c r="A94" s="14">
        <v>39661</v>
      </c>
      <c r="B94" s="13">
        <v>167.27600000000001</v>
      </c>
      <c r="C94" s="13">
        <v>130.27199999999999</v>
      </c>
      <c r="E94" s="14">
        <f t="shared" si="3"/>
        <v>44986</v>
      </c>
      <c r="F94" s="14">
        <v>44927</v>
      </c>
      <c r="G94" s="13">
        <f t="shared" si="4"/>
        <v>314.51600000000002</v>
      </c>
      <c r="H94" s="21">
        <f t="shared" si="5"/>
        <v>224.79499999999999</v>
      </c>
      <c r="J94" s="16"/>
      <c r="K94" s="20"/>
      <c r="L94" s="17"/>
      <c r="M94" s="17"/>
      <c r="N94"/>
      <c r="O94"/>
      <c r="P94"/>
      <c r="Q94"/>
      <c r="R94"/>
    </row>
    <row r="95" spans="1:18" ht="15" x14ac:dyDescent="0.25">
      <c r="A95" s="14">
        <v>39692</v>
      </c>
      <c r="B95" s="13">
        <v>223.42400000000001</v>
      </c>
      <c r="C95" s="13">
        <v>180.18199999999999</v>
      </c>
      <c r="E95" s="14">
        <f t="shared" si="3"/>
        <v>45078</v>
      </c>
      <c r="F95" s="14">
        <v>45017</v>
      </c>
      <c r="G95" s="13">
        <f t="shared" si="4"/>
        <v>270.04700000000003</v>
      </c>
      <c r="H95" s="21">
        <f t="shared" si="5"/>
        <v>174.86099999999999</v>
      </c>
      <c r="J95" s="16"/>
      <c r="K95" s="20"/>
      <c r="L95" s="17"/>
      <c r="M95" s="17"/>
      <c r="N95"/>
      <c r="O95"/>
      <c r="P95"/>
      <c r="Q95"/>
      <c r="R95"/>
    </row>
    <row r="96" spans="1:18" ht="15" x14ac:dyDescent="0.25">
      <c r="A96" s="14">
        <v>39722</v>
      </c>
      <c r="B96" s="13">
        <v>350.03199999999998</v>
      </c>
      <c r="C96" s="13">
        <v>323.29399999999998</v>
      </c>
      <c r="E96" s="14">
        <f t="shared" si="3"/>
        <v>45170</v>
      </c>
      <c r="F96" s="14">
        <v>45108</v>
      </c>
      <c r="G96" s="13">
        <f t="shared" si="4"/>
        <v>281.66399999999999</v>
      </c>
      <c r="H96" s="21">
        <f t="shared" si="5"/>
        <v>187.16</v>
      </c>
      <c r="J96" s="16"/>
      <c r="K96" s="20"/>
      <c r="L96" s="17"/>
      <c r="M96" s="17"/>
      <c r="N96"/>
      <c r="O96"/>
      <c r="P96"/>
      <c r="Q96"/>
      <c r="R96"/>
    </row>
    <row r="97" spans="1:18" ht="15" x14ac:dyDescent="0.25">
      <c r="A97" s="14">
        <v>39753</v>
      </c>
      <c r="B97" s="13">
        <v>348.78300000000002</v>
      </c>
      <c r="C97" s="13">
        <v>327.90100000000001</v>
      </c>
      <c r="E97" s="14">
        <f t="shared" si="3"/>
        <v>45261</v>
      </c>
      <c r="F97" s="14">
        <v>45200</v>
      </c>
      <c r="G97" s="13">
        <f t="shared" si="4"/>
        <v>228.30600000000001</v>
      </c>
      <c r="H97" s="21">
        <f t="shared" si="5"/>
        <v>131.49299999999999</v>
      </c>
      <c r="J97" s="16"/>
      <c r="K97" s="20"/>
      <c r="L97" s="17"/>
      <c r="M97" s="17"/>
      <c r="N97"/>
      <c r="O97"/>
      <c r="P97"/>
      <c r="Q97"/>
      <c r="R97"/>
    </row>
    <row r="98" spans="1:18" ht="15" x14ac:dyDescent="0.25">
      <c r="A98" s="14">
        <v>39783</v>
      </c>
      <c r="B98" s="13">
        <v>325.786</v>
      </c>
      <c r="C98" s="13">
        <v>303.52</v>
      </c>
      <c r="E98" s="14">
        <f t="shared" si="3"/>
        <v>45352</v>
      </c>
      <c r="F98" s="14">
        <v>45292</v>
      </c>
      <c r="G98" s="13">
        <f t="shared" si="4"/>
        <v>220.905</v>
      </c>
      <c r="H98" s="21">
        <f t="shared" si="5"/>
        <v>137.464</v>
      </c>
      <c r="J98" s="16"/>
      <c r="K98" s="20"/>
      <c r="L98" s="17"/>
      <c r="M98" s="17"/>
      <c r="N98"/>
      <c r="O98"/>
      <c r="P98"/>
      <c r="Q98"/>
      <c r="R98"/>
    </row>
    <row r="99" spans="1:18" ht="15" x14ac:dyDescent="0.25">
      <c r="A99" s="14">
        <v>39814</v>
      </c>
      <c r="B99" s="13">
        <v>368.572</v>
      </c>
      <c r="C99" s="13">
        <v>344.90499999999997</v>
      </c>
      <c r="E99" s="14">
        <f t="shared" si="3"/>
        <v>45444</v>
      </c>
      <c r="F99" s="14">
        <v>45383</v>
      </c>
      <c r="G99" s="13">
        <f t="shared" si="4"/>
        <v>262.142</v>
      </c>
      <c r="H99" s="21">
        <f t="shared" si="5"/>
        <v>169.97200000000001</v>
      </c>
      <c r="J99" s="16"/>
      <c r="K99" s="20"/>
      <c r="L99" s="17"/>
      <c r="M99" s="17"/>
      <c r="N99"/>
      <c r="O99"/>
      <c r="P99"/>
      <c r="Q99"/>
      <c r="R99"/>
    </row>
    <row r="100" spans="1:18" ht="15" x14ac:dyDescent="0.25">
      <c r="A100" s="14">
        <v>39845</v>
      </c>
      <c r="B100" s="13">
        <v>423.596</v>
      </c>
      <c r="C100" s="13">
        <v>399.83300000000003</v>
      </c>
      <c r="E100" s="14">
        <f t="shared" si="3"/>
        <v>45536</v>
      </c>
      <c r="F100" s="14">
        <v>45474</v>
      </c>
      <c r="G100" s="13">
        <f t="shared" si="4"/>
        <v>245.809</v>
      </c>
      <c r="H100" s="21">
        <f t="shared" si="5"/>
        <v>154.90899999999999</v>
      </c>
      <c r="J100" s="16"/>
      <c r="K100" s="20"/>
      <c r="L100" s="17"/>
      <c r="M100" s="17"/>
      <c r="N100"/>
      <c r="O100"/>
      <c r="P100"/>
      <c r="Q100"/>
      <c r="R100"/>
    </row>
    <row r="101" spans="1:18" ht="15" x14ac:dyDescent="0.25">
      <c r="A101" s="14">
        <v>39873</v>
      </c>
      <c r="B101" s="13">
        <v>350.05599999999998</v>
      </c>
      <c r="C101" s="13">
        <v>325.05200000000002</v>
      </c>
      <c r="E101" s="14">
        <f t="shared" si="3"/>
        <v>45627</v>
      </c>
      <c r="F101" s="14">
        <v>45566</v>
      </c>
      <c r="G101" s="13">
        <f t="shared" si="4"/>
        <v>310.255</v>
      </c>
      <c r="H101" s="21">
        <f t="shared" si="5"/>
        <v>220.339</v>
      </c>
      <c r="J101" s="16"/>
      <c r="K101" s="20"/>
      <c r="L101" s="17"/>
      <c r="M101" s="17"/>
      <c r="N101"/>
      <c r="O101"/>
      <c r="P101"/>
      <c r="Q101"/>
      <c r="R101"/>
    </row>
    <row r="102" spans="1:18" ht="15" x14ac:dyDescent="0.25">
      <c r="A102" s="14">
        <v>39904</v>
      </c>
      <c r="B102" s="13">
        <v>302.00099999999998</v>
      </c>
      <c r="C102" s="13">
        <v>273.26499999999999</v>
      </c>
      <c r="E102" s="14">
        <f t="shared" si="3"/>
        <v>45717</v>
      </c>
      <c r="F102" s="14">
        <v>45658</v>
      </c>
      <c r="G102" s="13">
        <f t="shared" si="4"/>
        <v>285.23099999999999</v>
      </c>
      <c r="H102" s="21">
        <f t="shared" si="5"/>
        <v>189.59899999999999</v>
      </c>
      <c r="J102" s="16"/>
      <c r="K102" s="20"/>
      <c r="L102" s="17"/>
      <c r="M102" s="17"/>
      <c r="N102"/>
      <c r="O102"/>
      <c r="P102"/>
      <c r="Q102"/>
      <c r="R102"/>
    </row>
    <row r="103" spans="1:18" ht="15" x14ac:dyDescent="0.25">
      <c r="A103" s="14">
        <v>39934</v>
      </c>
      <c r="B103" s="13">
        <v>220.46199999999999</v>
      </c>
      <c r="C103" s="13">
        <v>190.44800000000001</v>
      </c>
      <c r="E103" s="14">
        <f t="shared" si="3"/>
        <v>45809</v>
      </c>
      <c r="F103" s="14">
        <v>45748</v>
      </c>
      <c r="G103" s="13">
        <f t="shared" si="4"/>
        <v>246.28899999999999</v>
      </c>
      <c r="H103" s="21">
        <f t="shared" si="5"/>
        <v>151.697</v>
      </c>
      <c r="J103" s="16"/>
      <c r="K103" s="20"/>
      <c r="L103" s="17"/>
      <c r="M103" s="17"/>
      <c r="N103"/>
      <c r="O103"/>
      <c r="P103"/>
      <c r="Q103"/>
      <c r="R103"/>
    </row>
    <row r="104" spans="1:18" ht="15" x14ac:dyDescent="0.25">
      <c r="A104" s="14">
        <v>39965</v>
      </c>
      <c r="B104" s="13">
        <v>199.971</v>
      </c>
      <c r="C104" s="13">
        <v>175.10499999999999</v>
      </c>
      <c r="E104" s="14">
        <f t="shared" si="3"/>
        <v>45901</v>
      </c>
      <c r="F104" s="14">
        <v>45839</v>
      </c>
      <c r="G104" s="13">
        <f t="shared" si="4"/>
        <v>227.09899999999999</v>
      </c>
      <c r="H104" s="21">
        <f t="shared" si="5"/>
        <v>138.667</v>
      </c>
      <c r="J104" s="16"/>
      <c r="K104" s="20"/>
      <c r="L104" s="17"/>
      <c r="M104" s="17"/>
      <c r="N104"/>
      <c r="O104"/>
      <c r="P104"/>
      <c r="Q104"/>
      <c r="R104"/>
    </row>
    <row r="105" spans="1:18" ht="15" x14ac:dyDescent="0.25">
      <c r="A105" s="14">
        <v>39995</v>
      </c>
      <c r="B105" s="13">
        <v>152.66800000000001</v>
      </c>
      <c r="C105" s="13">
        <v>132.17599999999999</v>
      </c>
      <c r="E105" s="14">
        <f t="shared" si="3"/>
        <v>45992</v>
      </c>
      <c r="F105" s="14">
        <v>45931</v>
      </c>
      <c r="G105" s="13">
        <f t="shared" si="4"/>
        <v>227.02799999999999</v>
      </c>
      <c r="H105" s="21">
        <f t="shared" si="5"/>
        <v>141.00399999999999</v>
      </c>
      <c r="J105" s="16"/>
      <c r="K105" s="20"/>
      <c r="L105" s="17"/>
      <c r="M105" s="17"/>
      <c r="N105"/>
      <c r="O105"/>
      <c r="P105"/>
      <c r="Q105"/>
      <c r="R105"/>
    </row>
    <row r="106" spans="1:18" ht="15" x14ac:dyDescent="0.25">
      <c r="A106" s="14">
        <v>40026</v>
      </c>
      <c r="B106" s="13">
        <v>167.93299999999999</v>
      </c>
      <c r="C106" s="13">
        <v>137.63999999999999</v>
      </c>
      <c r="E106" s="14">
        <f t="shared" si="3"/>
        <v>46082</v>
      </c>
      <c r="F106" s="14">
        <v>46023</v>
      </c>
      <c r="G106" s="13">
        <f t="shared" si="4"/>
        <v>225.108</v>
      </c>
      <c r="H106" s="21">
        <f t="shared" si="5"/>
        <v>141.82400000000001</v>
      </c>
      <c r="J106" s="16"/>
      <c r="K106" s="20"/>
      <c r="L106" s="17"/>
      <c r="M106" s="17"/>
      <c r="N106"/>
      <c r="O106"/>
      <c r="P106"/>
      <c r="Q106"/>
      <c r="R106"/>
    </row>
    <row r="107" spans="1:18" ht="15" x14ac:dyDescent="0.25">
      <c r="A107" s="14">
        <v>40057</v>
      </c>
      <c r="B107" s="13">
        <v>153.24100000000001</v>
      </c>
      <c r="C107" s="13">
        <v>126.384</v>
      </c>
      <c r="E107" s="14">
        <f t="shared" si="3"/>
        <v>46174</v>
      </c>
      <c r="F107" s="14">
        <v>46113</v>
      </c>
      <c r="G107" s="13">
        <f t="shared" si="4"/>
        <v>210.10900000000001</v>
      </c>
      <c r="H107" s="21">
        <f t="shared" si="5"/>
        <v>126.828</v>
      </c>
      <c r="J107" s="16"/>
      <c r="K107" s="20"/>
      <c r="L107" s="17"/>
      <c r="M107" s="17"/>
      <c r="N107"/>
      <c r="O107"/>
      <c r="P107"/>
      <c r="Q107"/>
      <c r="R107"/>
    </row>
    <row r="108" spans="1:18" x14ac:dyDescent="0.2">
      <c r="A108" s="14">
        <v>40087</v>
      </c>
      <c r="B108" s="13">
        <v>162.893</v>
      </c>
      <c r="C108" s="13">
        <v>136.88499999999999</v>
      </c>
      <c r="E108" s="14">
        <f t="shared" si="3"/>
        <v>46266</v>
      </c>
      <c r="F108" s="14">
        <v>46204</v>
      </c>
      <c r="G108" s="13" t="e">
        <f t="shared" si="4"/>
        <v>#N/A</v>
      </c>
      <c r="H108" s="21" t="e">
        <f t="shared" si="5"/>
        <v>#N/A</v>
      </c>
    </row>
    <row r="109" spans="1:18" x14ac:dyDescent="0.2">
      <c r="A109" s="14">
        <v>40118</v>
      </c>
      <c r="B109" s="13">
        <v>154.63900000000001</v>
      </c>
      <c r="C109" s="13">
        <v>129.53299999999999</v>
      </c>
    </row>
    <row r="110" spans="1:18" x14ac:dyDescent="0.2">
      <c r="A110" s="14">
        <v>40148</v>
      </c>
      <c r="B110" s="13">
        <v>145.59100000000001</v>
      </c>
      <c r="C110" s="13">
        <v>122.282</v>
      </c>
    </row>
    <row r="111" spans="1:18" x14ac:dyDescent="0.2">
      <c r="A111" s="14">
        <v>40179</v>
      </c>
      <c r="B111" s="13">
        <v>167.37</v>
      </c>
      <c r="C111" s="13">
        <v>142.86199999999999</v>
      </c>
    </row>
    <row r="112" spans="1:18" x14ac:dyDescent="0.2">
      <c r="A112" s="14">
        <v>40210</v>
      </c>
      <c r="B112" s="13">
        <v>152.006</v>
      </c>
      <c r="C112" s="13">
        <v>129.82599999999999</v>
      </c>
    </row>
    <row r="113" spans="1:3" x14ac:dyDescent="0.2">
      <c r="A113" s="14">
        <v>40238</v>
      </c>
      <c r="B113" s="13">
        <v>156.10300000000001</v>
      </c>
      <c r="C113" s="13">
        <v>131.06200000000001</v>
      </c>
    </row>
    <row r="114" spans="1:3" x14ac:dyDescent="0.2">
      <c r="A114" s="14">
        <v>40269</v>
      </c>
      <c r="B114" s="13">
        <v>147.27199999999999</v>
      </c>
      <c r="C114" s="13">
        <v>122.36799999999999</v>
      </c>
    </row>
    <row r="115" spans="1:3" x14ac:dyDescent="0.2">
      <c r="A115" s="14">
        <v>40299</v>
      </c>
      <c r="B115" s="13">
        <v>161.26</v>
      </c>
      <c r="C115" s="13">
        <v>136.11199999999999</v>
      </c>
    </row>
    <row r="116" spans="1:3" x14ac:dyDescent="0.2">
      <c r="A116" s="14">
        <v>40330</v>
      </c>
      <c r="B116" s="13">
        <v>164.876</v>
      </c>
      <c r="C116" s="13">
        <v>139.524</v>
      </c>
    </row>
    <row r="117" spans="1:3" x14ac:dyDescent="0.2">
      <c r="A117" s="14">
        <v>40360</v>
      </c>
      <c r="B117" s="13">
        <v>141.47</v>
      </c>
      <c r="C117" s="13">
        <v>116.64</v>
      </c>
    </row>
    <row r="118" spans="1:3" x14ac:dyDescent="0.2">
      <c r="A118" s="14">
        <v>40391</v>
      </c>
      <c r="B118" s="13">
        <v>156.75299999999999</v>
      </c>
      <c r="C118" s="13">
        <v>132.01300000000001</v>
      </c>
    </row>
    <row r="119" spans="1:3" x14ac:dyDescent="0.2">
      <c r="A119" s="14">
        <v>40422</v>
      </c>
      <c r="B119" s="13">
        <v>142.80799999999999</v>
      </c>
      <c r="C119" s="13">
        <v>116.06699999999999</v>
      </c>
    </row>
    <row r="120" spans="1:3" x14ac:dyDescent="0.2">
      <c r="A120" s="14">
        <v>40452</v>
      </c>
      <c r="B120" s="13">
        <v>129.577</v>
      </c>
      <c r="C120" s="13">
        <v>100.22799999999999</v>
      </c>
    </row>
    <row r="121" spans="1:3" x14ac:dyDescent="0.2">
      <c r="A121" s="14">
        <v>40483</v>
      </c>
      <c r="B121" s="13">
        <v>154.185</v>
      </c>
      <c r="C121" s="13">
        <v>123.119</v>
      </c>
    </row>
    <row r="122" spans="1:3" x14ac:dyDescent="0.2">
      <c r="A122" s="14">
        <v>40513</v>
      </c>
      <c r="B122" s="13">
        <v>143.49700000000001</v>
      </c>
      <c r="C122" s="13">
        <v>110.824</v>
      </c>
    </row>
    <row r="123" spans="1:3" x14ac:dyDescent="0.2">
      <c r="A123" s="14">
        <v>40544</v>
      </c>
      <c r="B123" s="13">
        <v>154.25</v>
      </c>
      <c r="C123" s="13">
        <v>119.254</v>
      </c>
    </row>
    <row r="124" spans="1:3" x14ac:dyDescent="0.2">
      <c r="A124" s="14">
        <v>40575</v>
      </c>
      <c r="B124" s="13">
        <v>152.667</v>
      </c>
      <c r="C124" s="13">
        <v>117.693</v>
      </c>
    </row>
    <row r="125" spans="1:3" x14ac:dyDescent="0.2">
      <c r="A125" s="14">
        <v>40603</v>
      </c>
      <c r="B125" s="13">
        <v>153.66900000000001</v>
      </c>
      <c r="C125" s="13">
        <v>111.042</v>
      </c>
    </row>
    <row r="126" spans="1:3" x14ac:dyDescent="0.2">
      <c r="A126" s="14">
        <v>40634</v>
      </c>
      <c r="B126" s="13">
        <v>149.60300000000001</v>
      </c>
      <c r="C126" s="13">
        <v>105.45</v>
      </c>
    </row>
    <row r="127" spans="1:3" x14ac:dyDescent="0.2">
      <c r="A127" s="14">
        <v>40664</v>
      </c>
      <c r="B127" s="13">
        <v>148.78800000000001</v>
      </c>
      <c r="C127" s="13">
        <v>104.084</v>
      </c>
    </row>
    <row r="128" spans="1:3" x14ac:dyDescent="0.2">
      <c r="A128" s="14">
        <v>40695</v>
      </c>
      <c r="B128" s="13">
        <v>153.411</v>
      </c>
      <c r="C128" s="13">
        <v>110.36199999999999</v>
      </c>
    </row>
    <row r="129" spans="1:3" x14ac:dyDescent="0.2">
      <c r="A129" s="14">
        <v>40725</v>
      </c>
      <c r="B129" s="13">
        <v>150.768</v>
      </c>
      <c r="C129" s="13">
        <v>113.242</v>
      </c>
    </row>
    <row r="130" spans="1:3" x14ac:dyDescent="0.2">
      <c r="A130" s="14">
        <v>40756</v>
      </c>
      <c r="B130" s="13">
        <v>174.55</v>
      </c>
      <c r="C130" s="13">
        <v>141.619</v>
      </c>
    </row>
    <row r="131" spans="1:3" x14ac:dyDescent="0.2">
      <c r="A131" s="14">
        <v>40787</v>
      </c>
      <c r="B131" s="13">
        <v>229.392</v>
      </c>
      <c r="C131" s="13">
        <v>200.01499999999999</v>
      </c>
    </row>
    <row r="132" spans="1:3" x14ac:dyDescent="0.2">
      <c r="A132" s="14">
        <v>40817</v>
      </c>
      <c r="B132" s="13">
        <v>169.48400000000001</v>
      </c>
      <c r="C132" s="13">
        <v>140.13800000000001</v>
      </c>
    </row>
    <row r="133" spans="1:3" x14ac:dyDescent="0.2">
      <c r="A133" s="14">
        <v>40848</v>
      </c>
      <c r="B133" s="13">
        <v>189.42400000000001</v>
      </c>
      <c r="C133" s="13">
        <v>162.62899999999999</v>
      </c>
    </row>
    <row r="134" spans="1:3" x14ac:dyDescent="0.2">
      <c r="A134" s="14">
        <v>40878</v>
      </c>
      <c r="B134" s="13">
        <v>186.565</v>
      </c>
      <c r="C134" s="13">
        <v>159.50899999999999</v>
      </c>
    </row>
    <row r="135" spans="1:3" x14ac:dyDescent="0.2">
      <c r="A135" s="14">
        <v>40909</v>
      </c>
      <c r="B135" s="13">
        <v>174.215</v>
      </c>
      <c r="C135" s="13">
        <v>144.834</v>
      </c>
    </row>
    <row r="136" spans="1:3" x14ac:dyDescent="0.2">
      <c r="A136" s="14">
        <v>40940</v>
      </c>
      <c r="B136" s="13">
        <v>171.03200000000001</v>
      </c>
      <c r="C136" s="13">
        <v>139.077</v>
      </c>
    </row>
    <row r="137" spans="1:3" x14ac:dyDescent="0.2">
      <c r="A137" s="14">
        <v>40969</v>
      </c>
      <c r="B137" s="13">
        <v>156.02600000000001</v>
      </c>
      <c r="C137" s="13">
        <v>120.601</v>
      </c>
    </row>
    <row r="138" spans="1:3" x14ac:dyDescent="0.2">
      <c r="A138" s="14">
        <v>41000</v>
      </c>
      <c r="B138" s="13">
        <v>159.27500000000001</v>
      </c>
      <c r="C138" s="13">
        <v>122.97199999999999</v>
      </c>
    </row>
    <row r="139" spans="1:3" x14ac:dyDescent="0.2">
      <c r="A139" s="14">
        <v>41030</v>
      </c>
      <c r="B139" s="13">
        <v>208.4</v>
      </c>
      <c r="C139" s="13">
        <v>170.39099999999999</v>
      </c>
    </row>
    <row r="140" spans="1:3" x14ac:dyDescent="0.2">
      <c r="A140" s="14">
        <v>41061</v>
      </c>
      <c r="B140" s="13">
        <v>192.566</v>
      </c>
      <c r="C140" s="13">
        <v>152.625</v>
      </c>
    </row>
    <row r="141" spans="1:3" x14ac:dyDescent="0.2">
      <c r="A141" s="14">
        <v>41091</v>
      </c>
      <c r="B141" s="13">
        <v>174.178</v>
      </c>
      <c r="C141" s="13">
        <v>133.03299999999999</v>
      </c>
    </row>
    <row r="142" spans="1:3" x14ac:dyDescent="0.2">
      <c r="A142" s="14">
        <v>41122</v>
      </c>
      <c r="B142" s="13">
        <v>171.55699999999999</v>
      </c>
      <c r="C142" s="13">
        <v>129.35300000000001</v>
      </c>
    </row>
    <row r="143" spans="1:3" x14ac:dyDescent="0.2">
      <c r="A143" s="14">
        <v>41153</v>
      </c>
      <c r="B143" s="13">
        <v>150.554</v>
      </c>
      <c r="C143" s="13">
        <v>112.32899999999999</v>
      </c>
    </row>
    <row r="144" spans="1:3" x14ac:dyDescent="0.2">
      <c r="A144" s="14">
        <v>41183</v>
      </c>
      <c r="B144" s="13">
        <v>151.53899999999999</v>
      </c>
      <c r="C144" s="13">
        <v>111.376</v>
      </c>
    </row>
    <row r="145" spans="1:3" x14ac:dyDescent="0.2">
      <c r="A145" s="14">
        <v>41214</v>
      </c>
      <c r="B145" s="13">
        <v>149.46799999999999</v>
      </c>
      <c r="C145" s="13">
        <v>111.148</v>
      </c>
    </row>
    <row r="146" spans="1:3" x14ac:dyDescent="0.2">
      <c r="A146" s="14">
        <v>41244</v>
      </c>
      <c r="B146" s="13">
        <v>146.23699999999999</v>
      </c>
      <c r="C146" s="13">
        <v>107.70399999999999</v>
      </c>
    </row>
    <row r="147" spans="1:3" x14ac:dyDescent="0.2">
      <c r="A147" s="14">
        <v>41275</v>
      </c>
      <c r="B147" s="13">
        <v>154.613</v>
      </c>
      <c r="C147" s="13">
        <v>116.77200000000001</v>
      </c>
    </row>
    <row r="148" spans="1:3" x14ac:dyDescent="0.2">
      <c r="A148" s="14">
        <v>41306</v>
      </c>
      <c r="B148" s="13">
        <v>172.245</v>
      </c>
      <c r="C148" s="13">
        <v>132.34299999999999</v>
      </c>
    </row>
    <row r="149" spans="1:3" x14ac:dyDescent="0.2">
      <c r="A149" s="14">
        <v>41334</v>
      </c>
      <c r="B149" s="13">
        <v>180.60499999999999</v>
      </c>
      <c r="C149" s="13">
        <v>137.43</v>
      </c>
    </row>
    <row r="150" spans="1:3" x14ac:dyDescent="0.2">
      <c r="A150" s="14">
        <v>41365</v>
      </c>
      <c r="B150" s="13">
        <v>154.065</v>
      </c>
      <c r="C150" s="13">
        <v>110.11</v>
      </c>
    </row>
    <row r="151" spans="1:3" x14ac:dyDescent="0.2">
      <c r="A151" s="14">
        <v>41395</v>
      </c>
      <c r="B151" s="13">
        <v>195.89099999999999</v>
      </c>
      <c r="C151" s="13">
        <v>147.483</v>
      </c>
    </row>
    <row r="152" spans="1:3" x14ac:dyDescent="0.2">
      <c r="A152" s="14">
        <v>41426</v>
      </c>
      <c r="B152" s="13">
        <v>230.54499999999999</v>
      </c>
      <c r="C152" s="13">
        <v>186.04</v>
      </c>
    </row>
    <row r="153" spans="1:3" x14ac:dyDescent="0.2">
      <c r="A153" s="14">
        <v>41456</v>
      </c>
      <c r="B153" s="13">
        <v>232.63300000000001</v>
      </c>
      <c r="C153" s="13">
        <v>188.08199999999999</v>
      </c>
    </row>
    <row r="154" spans="1:3" x14ac:dyDescent="0.2">
      <c r="A154" s="14">
        <v>41487</v>
      </c>
      <c r="B154" s="13">
        <v>257.31099999999998</v>
      </c>
      <c r="C154" s="13">
        <v>211.501</v>
      </c>
    </row>
    <row r="155" spans="1:3" x14ac:dyDescent="0.2">
      <c r="A155" s="14">
        <v>41518</v>
      </c>
      <c r="B155" s="13">
        <v>222.68799999999999</v>
      </c>
      <c r="C155" s="13">
        <v>177.13200000000001</v>
      </c>
    </row>
    <row r="156" spans="1:3" x14ac:dyDescent="0.2">
      <c r="A156" s="14">
        <v>41548</v>
      </c>
      <c r="B156" s="13">
        <v>218.44800000000001</v>
      </c>
      <c r="C156" s="13">
        <v>174.041</v>
      </c>
    </row>
    <row r="157" spans="1:3" x14ac:dyDescent="0.2">
      <c r="A157" s="14">
        <v>41579</v>
      </c>
      <c r="B157" s="13">
        <v>258.875</v>
      </c>
      <c r="C157" s="13">
        <v>206.744</v>
      </c>
    </row>
    <row r="158" spans="1:3" x14ac:dyDescent="0.2">
      <c r="A158" s="14">
        <v>41609</v>
      </c>
      <c r="B158" s="13">
        <v>245.857</v>
      </c>
      <c r="C158" s="13">
        <v>193</v>
      </c>
    </row>
    <row r="159" spans="1:3" x14ac:dyDescent="0.2">
      <c r="A159" s="14">
        <v>41640</v>
      </c>
      <c r="B159" s="13">
        <v>261.21199999999999</v>
      </c>
      <c r="C159" s="13">
        <v>206</v>
      </c>
    </row>
    <row r="160" spans="1:3" x14ac:dyDescent="0.2">
      <c r="A160" s="14">
        <v>41671</v>
      </c>
      <c r="B160" s="13">
        <v>227.417</v>
      </c>
      <c r="C160" s="13">
        <v>172</v>
      </c>
    </row>
    <row r="161" spans="1:3" x14ac:dyDescent="0.2">
      <c r="A161" s="14">
        <v>41699</v>
      </c>
      <c r="B161" s="13">
        <v>226</v>
      </c>
      <c r="C161" s="13">
        <v>171</v>
      </c>
    </row>
    <row r="162" spans="1:3" x14ac:dyDescent="0.2">
      <c r="A162" s="14">
        <v>41730</v>
      </c>
      <c r="B162" s="13">
        <v>200.95099999999999</v>
      </c>
      <c r="C162" s="13">
        <v>145</v>
      </c>
    </row>
    <row r="163" spans="1:3" x14ac:dyDescent="0.2">
      <c r="A163" s="14">
        <v>41760</v>
      </c>
      <c r="B163" s="13">
        <v>198.98099999999999</v>
      </c>
      <c r="C163" s="13">
        <v>143</v>
      </c>
    </row>
    <row r="164" spans="1:3" x14ac:dyDescent="0.2">
      <c r="A164" s="14">
        <v>41791</v>
      </c>
      <c r="B164" s="13">
        <v>200.06899999999999</v>
      </c>
      <c r="C164" s="13">
        <v>143.69499999999999</v>
      </c>
    </row>
    <row r="165" spans="1:3" x14ac:dyDescent="0.2">
      <c r="A165" s="14">
        <v>41821</v>
      </c>
      <c r="B165" s="13">
        <v>220.04</v>
      </c>
      <c r="C165" s="13">
        <v>160.91</v>
      </c>
    </row>
    <row r="166" spans="1:3" x14ac:dyDescent="0.2">
      <c r="A166" s="14">
        <v>41852</v>
      </c>
      <c r="B166" s="13">
        <v>185.346</v>
      </c>
      <c r="C166" s="13">
        <v>126</v>
      </c>
    </row>
    <row r="167" spans="1:3" x14ac:dyDescent="0.2">
      <c r="A167" s="14">
        <v>41883</v>
      </c>
      <c r="B167" s="13">
        <v>237.67500000000001</v>
      </c>
      <c r="C167" s="13">
        <v>176.197</v>
      </c>
    </row>
    <row r="168" spans="1:3" x14ac:dyDescent="0.2">
      <c r="A168" s="14">
        <v>41913</v>
      </c>
      <c r="B168" s="13">
        <v>214.923</v>
      </c>
      <c r="C168" s="13">
        <v>153</v>
      </c>
    </row>
    <row r="169" spans="1:3" x14ac:dyDescent="0.2">
      <c r="A169" s="14">
        <v>41944</v>
      </c>
      <c r="B169" s="13">
        <v>218.483</v>
      </c>
      <c r="C169" s="13">
        <v>152.995</v>
      </c>
    </row>
    <row r="170" spans="1:3" x14ac:dyDescent="0.2">
      <c r="A170" s="14">
        <v>41974</v>
      </c>
      <c r="B170" s="13">
        <v>255.035</v>
      </c>
      <c r="C170" s="13">
        <v>197.547</v>
      </c>
    </row>
    <row r="171" spans="1:3" x14ac:dyDescent="0.2">
      <c r="A171" s="14">
        <v>42005</v>
      </c>
      <c r="B171" s="13">
        <v>286.24400000000003</v>
      </c>
      <c r="C171" s="13">
        <v>232.14099999999999</v>
      </c>
    </row>
    <row r="172" spans="1:3" x14ac:dyDescent="0.2">
      <c r="A172" s="14">
        <v>42036</v>
      </c>
      <c r="B172" s="13">
        <v>292</v>
      </c>
      <c r="C172" s="13">
        <v>237.8</v>
      </c>
    </row>
    <row r="173" spans="1:3" x14ac:dyDescent="0.2">
      <c r="A173" s="14">
        <v>42064</v>
      </c>
      <c r="B173" s="13">
        <v>332.41699999999997</v>
      </c>
      <c r="C173" s="13">
        <v>281.64999999999998</v>
      </c>
    </row>
    <row r="174" spans="1:3" x14ac:dyDescent="0.2">
      <c r="A174" s="14">
        <v>42095</v>
      </c>
      <c r="B174" s="13">
        <v>284.01600000000002</v>
      </c>
      <c r="C174" s="13">
        <v>234</v>
      </c>
    </row>
    <row r="175" spans="1:3" x14ac:dyDescent="0.2">
      <c r="A175" s="14">
        <v>42125</v>
      </c>
      <c r="B175" s="13">
        <v>293.32</v>
      </c>
      <c r="C175" s="13">
        <v>238</v>
      </c>
    </row>
    <row r="176" spans="1:3" x14ac:dyDescent="0.2">
      <c r="A176" s="14">
        <v>42156</v>
      </c>
      <c r="B176" s="13">
        <v>325</v>
      </c>
      <c r="C176" s="13">
        <v>261</v>
      </c>
    </row>
    <row r="177" spans="1:3" x14ac:dyDescent="0.2">
      <c r="A177" s="14">
        <v>42186</v>
      </c>
      <c r="B177" s="13">
        <v>352.91899999999998</v>
      </c>
      <c r="C177" s="13">
        <v>292</v>
      </c>
    </row>
    <row r="178" spans="1:3" x14ac:dyDescent="0.2">
      <c r="A178" s="14">
        <v>42217</v>
      </c>
      <c r="B178" s="13">
        <v>408</v>
      </c>
      <c r="C178" s="13">
        <v>349</v>
      </c>
    </row>
    <row r="179" spans="1:3" x14ac:dyDescent="0.2">
      <c r="A179" s="14">
        <v>42248</v>
      </c>
      <c r="B179" s="13">
        <v>505</v>
      </c>
      <c r="C179" s="13">
        <v>477</v>
      </c>
    </row>
    <row r="180" spans="1:3" x14ac:dyDescent="0.2">
      <c r="A180" s="14">
        <v>42278</v>
      </c>
      <c r="B180" s="13">
        <v>479</v>
      </c>
      <c r="C180" s="13">
        <v>438</v>
      </c>
    </row>
    <row r="181" spans="1:3" x14ac:dyDescent="0.2">
      <c r="A181" s="14">
        <v>42309</v>
      </c>
      <c r="B181" s="13">
        <v>495</v>
      </c>
      <c r="C181" s="13">
        <v>447</v>
      </c>
    </row>
    <row r="182" spans="1:3" x14ac:dyDescent="0.2">
      <c r="A182" s="14">
        <v>42339</v>
      </c>
      <c r="B182" s="13">
        <v>553.85900000000004</v>
      </c>
      <c r="C182" s="13">
        <v>500</v>
      </c>
    </row>
    <row r="183" spans="1:3" x14ac:dyDescent="0.2">
      <c r="A183" s="14">
        <v>42370</v>
      </c>
      <c r="B183" s="13">
        <v>534</v>
      </c>
      <c r="C183" s="13">
        <v>475</v>
      </c>
    </row>
    <row r="184" spans="1:3" x14ac:dyDescent="0.2">
      <c r="A184" s="14">
        <v>42401</v>
      </c>
      <c r="B184" s="13">
        <v>534</v>
      </c>
      <c r="C184" s="13">
        <v>459</v>
      </c>
    </row>
    <row r="185" spans="1:3" x14ac:dyDescent="0.2">
      <c r="A185" s="14">
        <v>42430</v>
      </c>
      <c r="B185" s="13">
        <v>437.983</v>
      </c>
      <c r="C185" s="13">
        <v>367</v>
      </c>
    </row>
    <row r="186" spans="1:3" x14ac:dyDescent="0.2">
      <c r="A186" s="14">
        <v>42461</v>
      </c>
      <c r="B186" s="13">
        <v>411</v>
      </c>
      <c r="C186" s="13">
        <v>340</v>
      </c>
    </row>
    <row r="187" spans="1:3" x14ac:dyDescent="0.2">
      <c r="A187" s="14">
        <v>42491</v>
      </c>
      <c r="B187" s="13">
        <v>439</v>
      </c>
      <c r="C187" s="13">
        <v>365</v>
      </c>
    </row>
    <row r="188" spans="1:3" x14ac:dyDescent="0.2">
      <c r="A188" s="14">
        <v>42522</v>
      </c>
      <c r="B188" s="13">
        <v>390</v>
      </c>
      <c r="C188" s="13">
        <v>315</v>
      </c>
    </row>
    <row r="189" spans="1:3" x14ac:dyDescent="0.2">
      <c r="A189" s="14">
        <v>42552</v>
      </c>
      <c r="B189" s="13">
        <v>367</v>
      </c>
      <c r="C189" s="13">
        <v>290</v>
      </c>
    </row>
    <row r="190" spans="1:3" x14ac:dyDescent="0.2">
      <c r="A190" s="14">
        <v>42583</v>
      </c>
      <c r="B190" s="13">
        <v>339</v>
      </c>
      <c r="C190" s="13">
        <v>260</v>
      </c>
    </row>
    <row r="191" spans="1:3" x14ac:dyDescent="0.2">
      <c r="A191" s="14">
        <v>42614</v>
      </c>
      <c r="B191" s="13">
        <v>346</v>
      </c>
      <c r="C191" s="13">
        <v>272</v>
      </c>
    </row>
    <row r="192" spans="1:3" x14ac:dyDescent="0.2">
      <c r="A192" s="14">
        <v>42644</v>
      </c>
      <c r="B192" s="13">
        <v>350.5</v>
      </c>
      <c r="C192" s="13">
        <v>274.5</v>
      </c>
    </row>
    <row r="193" spans="1:3" x14ac:dyDescent="0.2">
      <c r="A193" s="14">
        <v>42675</v>
      </c>
      <c r="B193" s="13">
        <v>376</v>
      </c>
      <c r="C193" s="13">
        <v>298</v>
      </c>
    </row>
    <row r="194" spans="1:3" x14ac:dyDescent="0.2">
      <c r="A194" s="14">
        <v>42705</v>
      </c>
      <c r="B194" s="13">
        <v>359</v>
      </c>
      <c r="C194" s="13">
        <v>280.5</v>
      </c>
    </row>
    <row r="195" spans="1:3" x14ac:dyDescent="0.2">
      <c r="A195" s="14">
        <v>42736</v>
      </c>
      <c r="B195" s="13">
        <v>341</v>
      </c>
      <c r="C195" s="13">
        <v>251</v>
      </c>
    </row>
    <row r="196" spans="1:3" x14ac:dyDescent="0.2">
      <c r="A196" s="14">
        <v>42767</v>
      </c>
      <c r="B196" s="13">
        <v>312.79599999999999</v>
      </c>
      <c r="C196" s="13">
        <v>224</v>
      </c>
    </row>
    <row r="197" spans="1:3" x14ac:dyDescent="0.2">
      <c r="A197" s="14">
        <v>42795</v>
      </c>
      <c r="B197" s="13">
        <v>316</v>
      </c>
      <c r="C197" s="13">
        <v>225</v>
      </c>
    </row>
    <row r="198" spans="1:3" x14ac:dyDescent="0.2">
      <c r="A198" s="14">
        <v>42826</v>
      </c>
      <c r="B198" s="13">
        <v>309</v>
      </c>
      <c r="C198" s="13">
        <v>218</v>
      </c>
    </row>
    <row r="199" spans="1:3" x14ac:dyDescent="0.2">
      <c r="A199" s="14">
        <v>42856</v>
      </c>
      <c r="B199" s="13">
        <v>333</v>
      </c>
      <c r="C199" s="13">
        <v>235</v>
      </c>
    </row>
    <row r="200" spans="1:3" x14ac:dyDescent="0.2">
      <c r="A200" s="14">
        <v>42887</v>
      </c>
      <c r="B200" s="13">
        <v>345</v>
      </c>
      <c r="C200" s="13">
        <v>241</v>
      </c>
    </row>
    <row r="201" spans="1:3" x14ac:dyDescent="0.2">
      <c r="A201" s="14">
        <v>42917</v>
      </c>
      <c r="B201" s="13">
        <v>322</v>
      </c>
      <c r="C201" s="13">
        <v>209</v>
      </c>
    </row>
    <row r="202" spans="1:3" x14ac:dyDescent="0.2">
      <c r="A202" s="14">
        <v>42948</v>
      </c>
      <c r="B202" s="13">
        <v>313</v>
      </c>
      <c r="C202" s="13">
        <v>195</v>
      </c>
    </row>
    <row r="203" spans="1:3" x14ac:dyDescent="0.2">
      <c r="A203" s="14">
        <v>42979</v>
      </c>
      <c r="B203" s="13">
        <v>303</v>
      </c>
      <c r="C203" s="13">
        <v>195</v>
      </c>
    </row>
    <row r="204" spans="1:3" x14ac:dyDescent="0.2">
      <c r="A204" s="14">
        <v>43009</v>
      </c>
      <c r="B204" s="13">
        <v>275</v>
      </c>
      <c r="C204" s="13">
        <v>171</v>
      </c>
    </row>
    <row r="205" spans="1:3" x14ac:dyDescent="0.2">
      <c r="A205" s="14">
        <v>43040</v>
      </c>
      <c r="B205" s="13">
        <v>272</v>
      </c>
      <c r="C205" s="13">
        <v>172</v>
      </c>
    </row>
    <row r="206" spans="1:3" x14ac:dyDescent="0.2">
      <c r="A206" s="14">
        <v>43070</v>
      </c>
      <c r="B206" s="13">
        <v>257</v>
      </c>
      <c r="C206" s="13">
        <v>161</v>
      </c>
    </row>
    <row r="207" spans="1:3" x14ac:dyDescent="0.2">
      <c r="A207" s="14">
        <v>43101</v>
      </c>
      <c r="B207" s="13">
        <v>237.5</v>
      </c>
      <c r="C207" s="13">
        <v>144.5</v>
      </c>
    </row>
    <row r="208" spans="1:3" x14ac:dyDescent="0.2">
      <c r="A208" s="14">
        <v>43132</v>
      </c>
      <c r="B208" s="13">
        <v>263</v>
      </c>
      <c r="C208" s="13">
        <v>157</v>
      </c>
    </row>
    <row r="209" spans="1:3" x14ac:dyDescent="0.2">
      <c r="A209" s="14">
        <v>43160</v>
      </c>
      <c r="B209" s="13">
        <v>261</v>
      </c>
      <c r="C209" s="13">
        <v>163</v>
      </c>
    </row>
    <row r="210" spans="1:3" x14ac:dyDescent="0.2">
      <c r="A210" s="14">
        <v>43191</v>
      </c>
      <c r="B210" s="13">
        <v>275</v>
      </c>
      <c r="C210" s="13">
        <v>176</v>
      </c>
    </row>
    <row r="211" spans="1:3" x14ac:dyDescent="0.2">
      <c r="A211" s="14">
        <v>43221</v>
      </c>
      <c r="B211" s="13">
        <v>337</v>
      </c>
      <c r="C211" s="13">
        <v>232</v>
      </c>
    </row>
    <row r="212" spans="1:3" x14ac:dyDescent="0.2">
      <c r="A212" s="14">
        <v>43252</v>
      </c>
      <c r="B212" s="13">
        <v>386</v>
      </c>
      <c r="C212" s="13">
        <v>275</v>
      </c>
    </row>
    <row r="213" spans="1:3" x14ac:dyDescent="0.2">
      <c r="A213" s="14">
        <v>43282</v>
      </c>
      <c r="B213" s="13">
        <v>322</v>
      </c>
      <c r="C213" s="13">
        <v>215</v>
      </c>
    </row>
    <row r="214" spans="1:3" x14ac:dyDescent="0.2">
      <c r="A214" s="14">
        <v>43313</v>
      </c>
      <c r="B214" s="13">
        <v>408</v>
      </c>
      <c r="C214" s="13">
        <v>305</v>
      </c>
    </row>
    <row r="215" spans="1:3" x14ac:dyDescent="0.2">
      <c r="A215" s="14">
        <v>43344</v>
      </c>
      <c r="B215" s="13">
        <v>351</v>
      </c>
      <c r="C215" s="13">
        <v>265</v>
      </c>
    </row>
    <row r="216" spans="1:3" x14ac:dyDescent="0.2">
      <c r="A216" s="14">
        <v>43374</v>
      </c>
      <c r="B216" s="13">
        <v>289</v>
      </c>
      <c r="C216" s="13">
        <v>205</v>
      </c>
    </row>
    <row r="217" spans="1:3" x14ac:dyDescent="0.2">
      <c r="A217" s="14">
        <v>43405</v>
      </c>
      <c r="B217" s="13">
        <v>290</v>
      </c>
      <c r="C217" s="13">
        <v>211</v>
      </c>
    </row>
    <row r="218" spans="1:3" x14ac:dyDescent="0.2">
      <c r="A218" s="14">
        <v>43435</v>
      </c>
      <c r="B218" s="13">
        <v>272.31400000000002</v>
      </c>
      <c r="C218" s="13">
        <v>203.62</v>
      </c>
    </row>
    <row r="219" spans="1:3" x14ac:dyDescent="0.2">
      <c r="A219" s="14">
        <v>43466</v>
      </c>
      <c r="B219" s="13">
        <v>239.53899999999999</v>
      </c>
      <c r="C219" s="13">
        <v>163.68299999999999</v>
      </c>
    </row>
    <row r="220" spans="1:3" x14ac:dyDescent="0.2">
      <c r="A220" s="14">
        <v>43497</v>
      </c>
      <c r="B220" s="13">
        <v>237.64500000000001</v>
      </c>
      <c r="C220" s="13">
        <v>154.965</v>
      </c>
    </row>
    <row r="221" spans="1:3" x14ac:dyDescent="0.2">
      <c r="A221" s="14">
        <v>43525</v>
      </c>
      <c r="B221" s="13">
        <v>251.70599999999999</v>
      </c>
      <c r="C221" s="13">
        <v>174.34200000000001</v>
      </c>
    </row>
    <row r="222" spans="1:3" x14ac:dyDescent="0.2">
      <c r="A222" s="14">
        <v>43556</v>
      </c>
      <c r="B222" s="13">
        <v>250.69800000000001</v>
      </c>
      <c r="C222" s="13">
        <v>171.435</v>
      </c>
    </row>
    <row r="223" spans="1:3" x14ac:dyDescent="0.2">
      <c r="A223" s="14">
        <v>43586</v>
      </c>
      <c r="B223" s="13">
        <v>258.54300000000001</v>
      </c>
      <c r="C223" s="13">
        <v>179.34700000000001</v>
      </c>
    </row>
    <row r="224" spans="1:3" x14ac:dyDescent="0.2">
      <c r="A224" s="14">
        <v>43617</v>
      </c>
      <c r="B224" s="13">
        <v>231.73</v>
      </c>
      <c r="C224" s="13">
        <v>149.03299999999999</v>
      </c>
    </row>
    <row r="225" spans="1:3" x14ac:dyDescent="0.2">
      <c r="A225" s="14">
        <v>43647</v>
      </c>
      <c r="B225" s="13">
        <v>207.916</v>
      </c>
      <c r="C225" s="13">
        <v>125.51900000000001</v>
      </c>
    </row>
    <row r="226" spans="1:3" x14ac:dyDescent="0.2">
      <c r="A226" s="14">
        <v>43678</v>
      </c>
      <c r="B226" s="13">
        <v>215.565</v>
      </c>
      <c r="C226" s="13">
        <v>133.374</v>
      </c>
    </row>
    <row r="227" spans="1:3" x14ac:dyDescent="0.2">
      <c r="A227" s="14">
        <v>43709</v>
      </c>
      <c r="B227" s="13">
        <v>212.49299999999999</v>
      </c>
      <c r="C227" s="13">
        <v>135.25800000000001</v>
      </c>
    </row>
    <row r="228" spans="1:3" x14ac:dyDescent="0.2">
      <c r="A228" s="14">
        <v>43739</v>
      </c>
      <c r="B228" s="13">
        <v>199.364</v>
      </c>
      <c r="C228" s="13">
        <v>121.586</v>
      </c>
    </row>
    <row r="229" spans="1:3" x14ac:dyDescent="0.2">
      <c r="A229" s="14">
        <v>43770</v>
      </c>
      <c r="B229" s="13">
        <v>205.05199999999999</v>
      </c>
      <c r="C229" s="13">
        <v>124.535</v>
      </c>
    </row>
    <row r="230" spans="1:3" x14ac:dyDescent="0.2">
      <c r="A230" s="14">
        <v>43800</v>
      </c>
      <c r="B230" s="13">
        <v>175.762</v>
      </c>
      <c r="C230" s="13">
        <v>99.016099999999994</v>
      </c>
    </row>
    <row r="231" spans="1:3" x14ac:dyDescent="0.2">
      <c r="A231" s="14">
        <v>43831</v>
      </c>
      <c r="B231" s="13">
        <v>177.74799999999999</v>
      </c>
      <c r="C231" s="13">
        <v>104.923</v>
      </c>
    </row>
    <row r="232" spans="1:3" x14ac:dyDescent="0.2">
      <c r="A232" s="14">
        <v>43862</v>
      </c>
      <c r="B232" s="13">
        <v>213.124</v>
      </c>
      <c r="C232" s="13">
        <v>132.49</v>
      </c>
    </row>
    <row r="233" spans="1:3" x14ac:dyDescent="0.2">
      <c r="A233" s="14">
        <v>43891</v>
      </c>
      <c r="B233" s="13">
        <v>341.209</v>
      </c>
      <c r="C233" s="13">
        <v>269.75299999999999</v>
      </c>
    </row>
    <row r="234" spans="1:3" x14ac:dyDescent="0.2">
      <c r="A234" s="14">
        <v>43922</v>
      </c>
      <c r="B234" s="13">
        <v>357.34899999999999</v>
      </c>
      <c r="C234" s="13">
        <v>294.649</v>
      </c>
    </row>
    <row r="235" spans="1:3" x14ac:dyDescent="0.2">
      <c r="A235" s="14">
        <v>43952</v>
      </c>
      <c r="B235" s="13">
        <v>344.91399999999999</v>
      </c>
      <c r="C235" s="13">
        <v>280.06299999999999</v>
      </c>
    </row>
    <row r="236" spans="1:3" x14ac:dyDescent="0.2">
      <c r="A236" s="14">
        <v>43983</v>
      </c>
      <c r="B236" s="13">
        <v>312.74900000000002</v>
      </c>
      <c r="C236" s="13">
        <v>246.28399999999999</v>
      </c>
    </row>
    <row r="237" spans="1:3" x14ac:dyDescent="0.2">
      <c r="A237" s="14">
        <v>44013</v>
      </c>
      <c r="B237" s="13">
        <v>285.38099999999997</v>
      </c>
      <c r="C237" s="13">
        <v>215.417</v>
      </c>
    </row>
    <row r="238" spans="1:3" x14ac:dyDescent="0.2">
      <c r="A238" s="14">
        <v>44044</v>
      </c>
      <c r="B238" s="13">
        <v>283.64699999999999</v>
      </c>
      <c r="C238" s="13">
        <v>211.59899999999999</v>
      </c>
    </row>
    <row r="239" spans="1:3" x14ac:dyDescent="0.2">
      <c r="A239" s="14">
        <v>44075</v>
      </c>
      <c r="B239" s="13">
        <v>312.56</v>
      </c>
      <c r="C239" s="13">
        <v>244.38300000000001</v>
      </c>
    </row>
    <row r="240" spans="1:3" x14ac:dyDescent="0.2">
      <c r="A240" s="14">
        <v>44105</v>
      </c>
      <c r="B240" s="13">
        <v>283.423</v>
      </c>
      <c r="C240" s="13">
        <v>216.22399999999999</v>
      </c>
    </row>
    <row r="241" spans="1:3" x14ac:dyDescent="0.2">
      <c r="A241" s="14">
        <v>44136</v>
      </c>
      <c r="B241" s="13">
        <v>232.18100000000001</v>
      </c>
      <c r="C241" s="13">
        <v>164.58600000000001</v>
      </c>
    </row>
    <row r="242" spans="1:3" x14ac:dyDescent="0.2">
      <c r="A242" s="14">
        <v>44166</v>
      </c>
      <c r="B242" s="13">
        <v>210.55199999999999</v>
      </c>
      <c r="C242" s="13">
        <v>142.21700000000001</v>
      </c>
    </row>
    <row r="243" spans="1:3" x14ac:dyDescent="0.2">
      <c r="A243" s="14">
        <v>44197</v>
      </c>
      <c r="B243" s="13">
        <v>251.321</v>
      </c>
      <c r="C243" s="13">
        <v>173.559</v>
      </c>
    </row>
    <row r="244" spans="1:3" x14ac:dyDescent="0.2">
      <c r="A244" s="14">
        <v>44228</v>
      </c>
      <c r="B244" s="13">
        <v>273.94099999999997</v>
      </c>
      <c r="C244" s="13">
        <v>193.08</v>
      </c>
    </row>
    <row r="245" spans="1:3" x14ac:dyDescent="0.2">
      <c r="A245" s="14">
        <v>44256</v>
      </c>
      <c r="B245" s="13">
        <v>293.67</v>
      </c>
      <c r="C245" s="13">
        <v>220.10499999999999</v>
      </c>
    </row>
    <row r="246" spans="1:3" x14ac:dyDescent="0.2">
      <c r="A246" s="14">
        <v>44287</v>
      </c>
      <c r="B246" s="13">
        <v>264.41399999999999</v>
      </c>
      <c r="C246" s="13">
        <v>190.03399999999999</v>
      </c>
    </row>
    <row r="247" spans="1:3" x14ac:dyDescent="0.2">
      <c r="A247" s="14">
        <v>44317</v>
      </c>
      <c r="B247" s="13">
        <v>246.45</v>
      </c>
      <c r="C247" s="13">
        <v>169.58699999999999</v>
      </c>
    </row>
    <row r="248" spans="1:3" x14ac:dyDescent="0.2">
      <c r="A248" s="14">
        <v>44348</v>
      </c>
      <c r="B248" s="13">
        <v>245.89500000000001</v>
      </c>
      <c r="C248" s="13">
        <v>163.68600000000001</v>
      </c>
    </row>
    <row r="249" spans="1:3" x14ac:dyDescent="0.2">
      <c r="A249" s="14">
        <v>44378</v>
      </c>
      <c r="B249" s="13">
        <v>257.39600000000002</v>
      </c>
      <c r="C249" s="13">
        <v>175.477</v>
      </c>
    </row>
    <row r="250" spans="1:3" x14ac:dyDescent="0.2">
      <c r="A250" s="14">
        <v>44409</v>
      </c>
      <c r="B250" s="13">
        <v>261.02499999999998</v>
      </c>
      <c r="C250" s="13">
        <v>174.50899999999999</v>
      </c>
    </row>
    <row r="251" spans="1:3" x14ac:dyDescent="0.2">
      <c r="A251" s="14">
        <v>44440</v>
      </c>
      <c r="B251" s="13">
        <v>287.90699999999998</v>
      </c>
      <c r="C251" s="13">
        <v>203.571</v>
      </c>
    </row>
    <row r="252" spans="1:3" x14ac:dyDescent="0.2">
      <c r="A252" s="14">
        <v>44470</v>
      </c>
      <c r="B252" s="13">
        <v>321.27100000000002</v>
      </c>
      <c r="C252" s="13">
        <v>244.303</v>
      </c>
    </row>
    <row r="253" spans="1:3" x14ac:dyDescent="0.2">
      <c r="A253" s="14">
        <v>44501</v>
      </c>
      <c r="B253" s="13">
        <v>331.02600000000001</v>
      </c>
      <c r="C253" s="13">
        <v>254.011</v>
      </c>
    </row>
    <row r="254" spans="1:3" x14ac:dyDescent="0.2">
      <c r="A254" s="14">
        <v>44531</v>
      </c>
      <c r="B254" s="13">
        <v>282.76799999999997</v>
      </c>
      <c r="C254" s="13">
        <v>203.554</v>
      </c>
    </row>
    <row r="255" spans="1:3" x14ac:dyDescent="0.2">
      <c r="A255" s="14">
        <v>44562</v>
      </c>
      <c r="B255" s="13">
        <v>304.39400000000001</v>
      </c>
      <c r="C255" s="13">
        <v>224.57</v>
      </c>
    </row>
    <row r="256" spans="1:3" x14ac:dyDescent="0.2">
      <c r="A256" s="14">
        <v>44593</v>
      </c>
      <c r="B256" s="13">
        <v>302.404</v>
      </c>
      <c r="C256" s="13">
        <v>220.267</v>
      </c>
    </row>
    <row r="257" spans="1:3" x14ac:dyDescent="0.2">
      <c r="A257" s="14">
        <v>44621</v>
      </c>
      <c r="B257" s="13">
        <v>284.43200000000002</v>
      </c>
      <c r="C257" s="13">
        <v>206.13900000000001</v>
      </c>
    </row>
    <row r="258" spans="1:3" x14ac:dyDescent="0.2">
      <c r="A258" s="14">
        <v>44652</v>
      </c>
      <c r="B258" s="13">
        <v>309.32499999999999</v>
      </c>
      <c r="C258" s="13">
        <v>227.50299999999999</v>
      </c>
    </row>
    <row r="259" spans="1:3" x14ac:dyDescent="0.2">
      <c r="A259" s="14">
        <v>44682</v>
      </c>
      <c r="B259" s="13">
        <v>306.005</v>
      </c>
      <c r="C259" s="13">
        <v>223.334</v>
      </c>
    </row>
    <row r="260" spans="1:3" x14ac:dyDescent="0.2">
      <c r="A260" s="14">
        <v>44713</v>
      </c>
      <c r="B260" s="13">
        <v>373.42200000000003</v>
      </c>
      <c r="C260" s="13">
        <v>290.56400000000002</v>
      </c>
    </row>
    <row r="261" spans="1:3" x14ac:dyDescent="0.2">
      <c r="A261" s="14">
        <v>44743</v>
      </c>
      <c r="B261" s="13">
        <v>355.13900000000001</v>
      </c>
      <c r="C261" s="13">
        <v>272.01400000000001</v>
      </c>
    </row>
    <row r="262" spans="1:3" x14ac:dyDescent="0.2">
      <c r="A262" s="14">
        <v>44774</v>
      </c>
      <c r="B262" s="13">
        <v>346.005</v>
      </c>
      <c r="C262" s="13">
        <v>261.57100000000003</v>
      </c>
    </row>
    <row r="263" spans="1:3" x14ac:dyDescent="0.2">
      <c r="A263" s="14">
        <v>44805</v>
      </c>
      <c r="B263" s="13">
        <v>387.12400000000002</v>
      </c>
      <c r="C263" s="13">
        <v>304.43299999999999</v>
      </c>
    </row>
    <row r="264" spans="1:3" x14ac:dyDescent="0.2">
      <c r="A264" s="14">
        <v>44835</v>
      </c>
      <c r="B264" s="13">
        <v>359.12099999999998</v>
      </c>
      <c r="C264" s="13">
        <v>275.65100000000001</v>
      </c>
    </row>
    <row r="265" spans="1:3" x14ac:dyDescent="0.2">
      <c r="A265" s="14">
        <v>44866</v>
      </c>
      <c r="B265" s="13">
        <v>328.22</v>
      </c>
      <c r="C265" s="13">
        <v>244.584</v>
      </c>
    </row>
    <row r="266" spans="1:3" x14ac:dyDescent="0.2">
      <c r="A266" s="14">
        <v>44896</v>
      </c>
      <c r="B266" s="13">
        <v>335.37099999999998</v>
      </c>
      <c r="C266" s="13">
        <v>251.50200000000001</v>
      </c>
    </row>
    <row r="267" spans="1:3" x14ac:dyDescent="0.2">
      <c r="A267" s="14">
        <v>44927</v>
      </c>
      <c r="B267" s="13">
        <v>312.29199999999997</v>
      </c>
      <c r="C267" s="13">
        <v>228.267</v>
      </c>
    </row>
    <row r="268" spans="1:3" x14ac:dyDescent="0.2">
      <c r="A268" s="14">
        <v>44958</v>
      </c>
      <c r="B268" s="13">
        <v>313.08300000000003</v>
      </c>
      <c r="C268" s="13">
        <v>228.864</v>
      </c>
    </row>
    <row r="269" spans="1:3" x14ac:dyDescent="0.2">
      <c r="A269" s="14">
        <v>44986</v>
      </c>
      <c r="B269" s="13">
        <v>314.51600000000002</v>
      </c>
      <c r="C269" s="13">
        <v>224.79499999999999</v>
      </c>
    </row>
    <row r="270" spans="1:3" x14ac:dyDescent="0.2">
      <c r="A270" s="14">
        <v>45017</v>
      </c>
      <c r="B270" s="13">
        <v>312.322</v>
      </c>
      <c r="C270" s="13">
        <v>222.41300000000001</v>
      </c>
    </row>
    <row r="271" spans="1:3" x14ac:dyDescent="0.2">
      <c r="A271" s="14">
        <v>45047</v>
      </c>
      <c r="B271" s="13">
        <v>300.67099999999999</v>
      </c>
      <c r="C271" s="13">
        <v>210.35</v>
      </c>
    </row>
    <row r="272" spans="1:3" x14ac:dyDescent="0.2">
      <c r="A272" s="14">
        <v>45078</v>
      </c>
      <c r="B272" s="13">
        <v>270.04700000000003</v>
      </c>
      <c r="C272" s="13">
        <v>174.86099999999999</v>
      </c>
    </row>
    <row r="273" spans="1:3" x14ac:dyDescent="0.2">
      <c r="A273" s="14">
        <v>45108</v>
      </c>
      <c r="B273" s="13">
        <v>259.226</v>
      </c>
      <c r="C273" s="13">
        <v>163.72</v>
      </c>
    </row>
    <row r="274" spans="1:3" x14ac:dyDescent="0.2">
      <c r="A274" s="14">
        <v>45139</v>
      </c>
      <c r="B274" s="13">
        <v>265.01600000000002</v>
      </c>
      <c r="C274" s="13">
        <v>167.72399999999999</v>
      </c>
    </row>
    <row r="275" spans="1:3" x14ac:dyDescent="0.2">
      <c r="A275" s="14">
        <v>45170</v>
      </c>
      <c r="B275" s="13">
        <v>281.66399999999999</v>
      </c>
      <c r="C275" s="13">
        <v>187.16</v>
      </c>
    </row>
    <row r="276" spans="1:3" x14ac:dyDescent="0.2">
      <c r="A276" s="14">
        <v>45200</v>
      </c>
      <c r="B276" s="13">
        <v>275.89699999999999</v>
      </c>
      <c r="C276" s="13">
        <v>181.31200000000001</v>
      </c>
    </row>
    <row r="277" spans="1:3" x14ac:dyDescent="0.2">
      <c r="A277" s="14">
        <v>45231</v>
      </c>
      <c r="B277" s="13">
        <v>243.67400000000001</v>
      </c>
      <c r="C277" s="13">
        <v>147.161</v>
      </c>
    </row>
    <row r="278" spans="1:3" x14ac:dyDescent="0.2">
      <c r="A278" s="14">
        <v>45261</v>
      </c>
      <c r="B278" s="13">
        <v>228.30600000000001</v>
      </c>
      <c r="C278" s="13">
        <v>131.49299999999999</v>
      </c>
    </row>
    <row r="279" spans="1:3" x14ac:dyDescent="0.2">
      <c r="A279" s="14">
        <v>45292</v>
      </c>
      <c r="B279" s="13">
        <v>235.20599999999999</v>
      </c>
      <c r="C279" s="13">
        <v>138.4</v>
      </c>
    </row>
    <row r="280" spans="1:3" x14ac:dyDescent="0.2">
      <c r="A280" s="14">
        <v>45323</v>
      </c>
      <c r="B280" s="13">
        <v>222.44300000000001</v>
      </c>
      <c r="C280" s="13">
        <v>125.41800000000001</v>
      </c>
    </row>
    <row r="281" spans="1:3" x14ac:dyDescent="0.2">
      <c r="A281" s="14">
        <v>45352</v>
      </c>
      <c r="B281" s="13">
        <v>220.905</v>
      </c>
      <c r="C281" s="13">
        <v>137.464</v>
      </c>
    </row>
    <row r="282" spans="1:3" x14ac:dyDescent="0.2">
      <c r="A282" s="14">
        <v>45383</v>
      </c>
      <c r="B282" s="13">
        <v>241.53</v>
      </c>
      <c r="C282" s="13">
        <v>149.29</v>
      </c>
    </row>
    <row r="283" spans="1:3" x14ac:dyDescent="0.2">
      <c r="A283" s="14">
        <v>45413</v>
      </c>
      <c r="B283" s="13">
        <v>233.81299999999999</v>
      </c>
      <c r="C283" s="13">
        <v>142.17400000000001</v>
      </c>
    </row>
    <row r="284" spans="1:3" x14ac:dyDescent="0.2">
      <c r="A284" s="14">
        <v>45444</v>
      </c>
      <c r="B284" s="13">
        <v>262.142</v>
      </c>
      <c r="C284" s="13">
        <v>169.97200000000001</v>
      </c>
    </row>
    <row r="285" spans="1:3" x14ac:dyDescent="0.2">
      <c r="A285" s="14">
        <v>45474</v>
      </c>
      <c r="B285" s="13">
        <v>254.34399999999999</v>
      </c>
      <c r="C285" s="13">
        <v>158.155</v>
      </c>
    </row>
    <row r="286" spans="1:3" x14ac:dyDescent="0.2">
      <c r="A286" s="14">
        <v>45505</v>
      </c>
      <c r="B286" s="13">
        <v>251.21299999999999</v>
      </c>
      <c r="C286" s="13">
        <v>150.304</v>
      </c>
    </row>
    <row r="287" spans="1:3" x14ac:dyDescent="0.2">
      <c r="A287" s="14">
        <v>45536</v>
      </c>
      <c r="B287" s="13">
        <v>245.809</v>
      </c>
      <c r="C287" s="13">
        <v>154.90899999999999</v>
      </c>
    </row>
    <row r="288" spans="1:3" x14ac:dyDescent="0.2">
      <c r="A288" s="14">
        <v>45566</v>
      </c>
      <c r="B288" s="13">
        <v>253.768</v>
      </c>
      <c r="C288" s="13">
        <v>161.928</v>
      </c>
    </row>
    <row r="289" spans="1:3" x14ac:dyDescent="0.2">
      <c r="A289" s="14">
        <v>45597</v>
      </c>
      <c r="B289" s="13">
        <v>259.24799999999999</v>
      </c>
      <c r="C289" s="13">
        <v>168.017</v>
      </c>
    </row>
    <row r="290" spans="1:3" x14ac:dyDescent="0.2">
      <c r="A290" s="14">
        <v>45627</v>
      </c>
      <c r="B290" s="13">
        <v>310.255</v>
      </c>
      <c r="C290" s="13">
        <v>220.339</v>
      </c>
    </row>
    <row r="291" spans="1:3" x14ac:dyDescent="0.2">
      <c r="A291" s="14">
        <v>45658</v>
      </c>
      <c r="B291" s="13">
        <v>280.75900000000001</v>
      </c>
      <c r="C291" s="13">
        <v>184.17099999999999</v>
      </c>
    </row>
    <row r="292" spans="1:3" x14ac:dyDescent="0.2">
      <c r="A292" s="14">
        <v>45689</v>
      </c>
      <c r="B292" s="13">
        <v>281.33999999999997</v>
      </c>
      <c r="C292" s="13">
        <v>184.77699999999999</v>
      </c>
    </row>
    <row r="293" spans="1:3" x14ac:dyDescent="0.2">
      <c r="A293" s="14">
        <v>45717</v>
      </c>
      <c r="B293" s="13">
        <v>285.23099999999999</v>
      </c>
      <c r="C293" s="13">
        <v>189.59899999999999</v>
      </c>
    </row>
    <row r="294" spans="1:3" x14ac:dyDescent="0.2">
      <c r="A294" s="14">
        <v>45748</v>
      </c>
      <c r="B294" s="13">
        <v>278.11</v>
      </c>
      <c r="C294" s="13">
        <v>184.14099999999999</v>
      </c>
    </row>
    <row r="295" spans="1:3" x14ac:dyDescent="0.2">
      <c r="A295" s="14">
        <v>45778</v>
      </c>
      <c r="B295" s="13">
        <v>258.71899999999999</v>
      </c>
      <c r="C295" s="13">
        <v>165.01</v>
      </c>
    </row>
    <row r="296" spans="1:3" x14ac:dyDescent="0.2">
      <c r="A296" s="14">
        <v>45809</v>
      </c>
      <c r="B296" s="13">
        <v>246.28899999999999</v>
      </c>
      <c r="C296" s="13">
        <v>151.697</v>
      </c>
    </row>
    <row r="297" spans="1:3" x14ac:dyDescent="0.2">
      <c r="A297" s="14">
        <v>45839</v>
      </c>
      <c r="B297" s="13">
        <v>245.119</v>
      </c>
      <c r="C297" s="13">
        <v>153.23599999999999</v>
      </c>
    </row>
    <row r="298" spans="1:3" x14ac:dyDescent="0.2">
      <c r="A298" s="14">
        <v>45870</v>
      </c>
      <c r="B298" s="13">
        <v>231.232</v>
      </c>
      <c r="C298" s="13">
        <v>140.346</v>
      </c>
    </row>
    <row r="299" spans="1:3" x14ac:dyDescent="0.2">
      <c r="A299" s="14">
        <v>45901</v>
      </c>
      <c r="B299" s="13">
        <v>227.09899999999999</v>
      </c>
      <c r="C299" s="13">
        <v>138.667</v>
      </c>
    </row>
    <row r="300" spans="1:3" x14ac:dyDescent="0.2">
      <c r="A300" s="14">
        <v>45931</v>
      </c>
      <c r="B300" s="13">
        <v>230.48400000000001</v>
      </c>
      <c r="C300" s="13">
        <v>141.96700000000001</v>
      </c>
    </row>
    <row r="301" spans="1:3" x14ac:dyDescent="0.2">
      <c r="A301" s="14">
        <v>45962</v>
      </c>
      <c r="B301" s="13">
        <v>231.63499999999999</v>
      </c>
      <c r="C301" s="13">
        <v>143.751</v>
      </c>
    </row>
    <row r="302" spans="1:3" x14ac:dyDescent="0.2">
      <c r="A302" s="14">
        <v>45992</v>
      </c>
      <c r="B302" s="13">
        <v>227.02799999999999</v>
      </c>
      <c r="C302" s="13">
        <v>141.00399999999999</v>
      </c>
    </row>
    <row r="303" spans="1:3" x14ac:dyDescent="0.2">
      <c r="A303" s="14">
        <v>46023</v>
      </c>
      <c r="B303" s="13">
        <v>217.60499999999999</v>
      </c>
      <c r="C303" s="13">
        <v>131.95099999999999</v>
      </c>
    </row>
    <row r="304" spans="1:3" x14ac:dyDescent="0.2">
      <c r="A304" s="14">
        <v>46054</v>
      </c>
      <c r="B304" s="13">
        <v>219.244</v>
      </c>
      <c r="C304" s="13">
        <v>135</v>
      </c>
    </row>
    <row r="305" spans="1:3" x14ac:dyDescent="0.2">
      <c r="A305" s="14">
        <v>46082</v>
      </c>
      <c r="B305" s="13">
        <v>225.108</v>
      </c>
      <c r="C305" s="13">
        <v>141.82400000000001</v>
      </c>
    </row>
    <row r="306" spans="1:3" x14ac:dyDescent="0.2">
      <c r="A306" s="14">
        <v>46113</v>
      </c>
      <c r="B306" s="13">
        <v>204.52699999999999</v>
      </c>
      <c r="C306" s="13">
        <v>121.78700000000001</v>
      </c>
    </row>
    <row r="307" spans="1:3" x14ac:dyDescent="0.2">
      <c r="A307" s="14">
        <v>46143</v>
      </c>
      <c r="B307" s="13">
        <v>202.93700000000001</v>
      </c>
      <c r="C307" s="13">
        <v>118.67400000000001</v>
      </c>
    </row>
    <row r="308" spans="1:3" x14ac:dyDescent="0.2">
      <c r="A308" s="14">
        <v>46174</v>
      </c>
      <c r="B308" s="13">
        <v>210.10900000000001</v>
      </c>
      <c r="C308" s="13">
        <v>126.828</v>
      </c>
    </row>
    <row r="309" spans="1:3" x14ac:dyDescent="0.2">
      <c r="A309" s="14">
        <v>46204</v>
      </c>
      <c r="B309" s="13">
        <v>209.71799999999999</v>
      </c>
      <c r="C309" s="13">
        <v>126.327</v>
      </c>
    </row>
    <row r="310" spans="1:3" x14ac:dyDescent="0.2">
      <c r="A310" s="14">
        <v>46235</v>
      </c>
      <c r="B310" s="13">
        <v>207.19399999999999</v>
      </c>
      <c r="C310" s="13">
        <v>123.818</v>
      </c>
    </row>
    <row r="311" spans="1:3" x14ac:dyDescent="0.2">
      <c r="A311" s="13" t="s">
        <v>1213</v>
      </c>
      <c r="B311" s="13" t="s">
        <v>1214</v>
      </c>
    </row>
    <row r="312" spans="1:3" x14ac:dyDescent="0.2">
      <c r="A312" s="13" t="s">
        <v>1215</v>
      </c>
    </row>
  </sheetData>
  <pageMargins left="0.78740157499999996" right="0.78740157499999996" top="0.984251969" bottom="0.984251969" header="0.5" footer="0.5"/>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22D6B-9E1E-44D8-A141-B952657EC944}">
  <dimension ref="A1:K130"/>
  <sheetViews>
    <sheetView zoomScaleNormal="100" workbookViewId="0">
      <pane xSplit="1" ySplit="1" topLeftCell="B2" activePane="bottomRight" state="frozen"/>
      <selection pane="topRight" activeCell="B1" sqref="B1"/>
      <selection pane="bottomLeft" activeCell="A2" sqref="A2"/>
      <selection pane="bottomRight" activeCell="M2" sqref="M2"/>
    </sheetView>
  </sheetViews>
  <sheetFormatPr defaultColWidth="8.7109375" defaultRowHeight="15" x14ac:dyDescent="0.25"/>
  <cols>
    <col min="1" max="1" width="12" style="9" customWidth="1"/>
    <col min="2" max="2" width="24" style="9" customWidth="1"/>
    <col min="3" max="3" width="20" style="9" customWidth="1"/>
    <col min="4" max="4" width="14.42578125" style="9" bestFit="1" customWidth="1"/>
    <col min="5" max="5" width="32.5703125" style="9" bestFit="1" customWidth="1"/>
    <col min="6" max="6" width="11.85546875" style="9" bestFit="1" customWidth="1"/>
    <col min="7" max="7" width="16" style="9" customWidth="1"/>
    <col min="8" max="8" width="8.7109375" style="9"/>
    <col min="9" max="9" width="9.5703125" style="9" bestFit="1" customWidth="1"/>
    <col min="10" max="10" width="11" style="9" customWidth="1"/>
    <col min="11" max="11" width="10" style="9" customWidth="1"/>
    <col min="12" max="16384" width="8.7109375" style="9"/>
  </cols>
  <sheetData>
    <row r="1" spans="1:11" ht="15" customHeight="1" x14ac:dyDescent="0.25">
      <c r="A1" s="8" t="s">
        <v>1203</v>
      </c>
      <c r="B1" s="8" t="s">
        <v>1213</v>
      </c>
      <c r="C1" s="8" t="s">
        <v>1220</v>
      </c>
      <c r="D1" s="8" t="s">
        <v>1221</v>
      </c>
      <c r="E1" s="8" t="s">
        <v>1222</v>
      </c>
      <c r="F1" s="8" t="s">
        <v>1223</v>
      </c>
      <c r="G1" s="8" t="s">
        <v>1224</v>
      </c>
      <c r="I1" s="22" t="s">
        <v>1225</v>
      </c>
      <c r="J1" s="22" t="s">
        <v>1226</v>
      </c>
      <c r="K1" s="22" t="s">
        <v>1227</v>
      </c>
    </row>
    <row r="2" spans="1:11" ht="15" customHeight="1" x14ac:dyDescent="0.25">
      <c r="A2" s="10">
        <v>34425</v>
      </c>
      <c r="B2" s="11" t="s">
        <v>1228</v>
      </c>
      <c r="C2" s="23">
        <v>48.499784480693599</v>
      </c>
      <c r="D2" s="12">
        <v>1.00403274560726</v>
      </c>
      <c r="E2" s="23">
        <f t="shared" ref="E2:E28" si="0">$I$2*C2^$J$2</f>
        <v>13.469367422598435</v>
      </c>
      <c r="F2" s="12">
        <f t="shared" ref="F2:F65" si="1">D2+E2/400</f>
        <v>1.0377061641637562</v>
      </c>
      <c r="G2" s="12">
        <f t="shared" ref="G2:G65" si="2">LN(F2)</f>
        <v>3.7012665829007016E-2</v>
      </c>
      <c r="I2" s="12">
        <v>6.9864899473457004E-2</v>
      </c>
      <c r="J2" s="12">
        <v>1.3555402498098501</v>
      </c>
      <c r="K2" s="12">
        <v>0.954159628649625</v>
      </c>
    </row>
    <row r="3" spans="1:11" ht="15" customHeight="1" x14ac:dyDescent="0.25">
      <c r="A3" s="10">
        <v>34516</v>
      </c>
      <c r="B3" s="11" t="s">
        <v>1228</v>
      </c>
      <c r="C3" s="23">
        <v>40.616216966466702</v>
      </c>
      <c r="D3" s="12">
        <v>1.0056592176575101</v>
      </c>
      <c r="E3" s="23">
        <f t="shared" si="0"/>
        <v>10.590486730455137</v>
      </c>
      <c r="F3" s="12">
        <f t="shared" si="1"/>
        <v>1.032135434483648</v>
      </c>
      <c r="G3" s="12">
        <f t="shared" si="2"/>
        <v>3.1629893413591501E-2</v>
      </c>
    </row>
    <row r="4" spans="1:11" ht="15" customHeight="1" x14ac:dyDescent="0.25">
      <c r="A4" s="10">
        <v>34608</v>
      </c>
      <c r="B4" s="11" t="s">
        <v>1228</v>
      </c>
      <c r="C4" s="23">
        <v>35.735344259171697</v>
      </c>
      <c r="D4" s="12">
        <v>1.00701403897334</v>
      </c>
      <c r="E4" s="23">
        <f t="shared" si="0"/>
        <v>8.9031942534739876</v>
      </c>
      <c r="F4" s="12">
        <f t="shared" si="1"/>
        <v>1.0292720246070248</v>
      </c>
      <c r="G4" s="12">
        <f t="shared" si="2"/>
        <v>2.885178013411871E-2</v>
      </c>
    </row>
    <row r="5" spans="1:11" ht="15" customHeight="1" x14ac:dyDescent="0.25">
      <c r="A5" s="10">
        <v>34700</v>
      </c>
      <c r="B5" s="11" t="s">
        <v>1228</v>
      </c>
      <c r="C5" s="23">
        <v>53.910362760039199</v>
      </c>
      <c r="D5" s="12">
        <v>1.0082889575805001</v>
      </c>
      <c r="E5" s="23">
        <f t="shared" si="0"/>
        <v>15.545707018054751</v>
      </c>
      <c r="F5" s="12">
        <f t="shared" si="1"/>
        <v>1.047153225125637</v>
      </c>
      <c r="G5" s="12">
        <f t="shared" si="2"/>
        <v>4.6075268005616121E-2</v>
      </c>
    </row>
    <row r="6" spans="1:11" ht="15" customHeight="1" x14ac:dyDescent="0.25">
      <c r="A6" s="10">
        <v>34790</v>
      </c>
      <c r="B6" s="11" t="s">
        <v>1228</v>
      </c>
      <c r="C6" s="23">
        <v>51.209220833362501</v>
      </c>
      <c r="D6" s="12">
        <v>1.00715288121293</v>
      </c>
      <c r="E6" s="23">
        <f t="shared" si="0"/>
        <v>14.499374961097292</v>
      </c>
      <c r="F6" s="12">
        <f t="shared" si="1"/>
        <v>1.0434013186156732</v>
      </c>
      <c r="G6" s="12">
        <f t="shared" si="2"/>
        <v>4.2485875373492833E-2</v>
      </c>
    </row>
    <row r="7" spans="1:11" ht="15" customHeight="1" x14ac:dyDescent="0.25">
      <c r="A7" s="10">
        <v>34881</v>
      </c>
      <c r="B7" s="11" t="s">
        <v>1228</v>
      </c>
      <c r="C7" s="23">
        <v>45.893579025536397</v>
      </c>
      <c r="D7" s="12">
        <v>1.0060075222257101</v>
      </c>
      <c r="E7" s="23">
        <f t="shared" si="0"/>
        <v>12.497716290717362</v>
      </c>
      <c r="F7" s="12">
        <f t="shared" si="1"/>
        <v>1.0372518129525035</v>
      </c>
      <c r="G7" s="12">
        <f t="shared" si="2"/>
        <v>3.6574728074580003E-2</v>
      </c>
    </row>
    <row r="8" spans="1:11" ht="15" customHeight="1" x14ac:dyDescent="0.25">
      <c r="A8" s="10">
        <v>34973</v>
      </c>
      <c r="B8" s="11" t="s">
        <v>1228</v>
      </c>
      <c r="C8" s="23">
        <v>44.081862590728903</v>
      </c>
      <c r="D8" s="12">
        <v>1.0068775256678799</v>
      </c>
      <c r="E8" s="23">
        <f t="shared" si="0"/>
        <v>11.833672980771048</v>
      </c>
      <c r="F8" s="12">
        <f t="shared" si="1"/>
        <v>1.0364617081198075</v>
      </c>
      <c r="G8" s="12">
        <f t="shared" si="2"/>
        <v>3.5812708766802037E-2</v>
      </c>
    </row>
    <row r="9" spans="1:11" ht="15" customHeight="1" x14ac:dyDescent="0.25">
      <c r="A9" s="10">
        <v>35065</v>
      </c>
      <c r="B9" s="11" t="s">
        <v>1228</v>
      </c>
      <c r="C9" s="23">
        <v>35.121762024667298</v>
      </c>
      <c r="D9" s="12">
        <v>1.00643875481356</v>
      </c>
      <c r="E9" s="23">
        <f t="shared" si="0"/>
        <v>8.6966084422735914</v>
      </c>
      <c r="F9" s="12">
        <f t="shared" si="1"/>
        <v>1.028180275919244</v>
      </c>
      <c r="G9" s="12">
        <f t="shared" si="2"/>
        <v>2.7790517338408347E-2</v>
      </c>
    </row>
    <row r="10" spans="1:11" ht="15" customHeight="1" x14ac:dyDescent="0.25">
      <c r="A10" s="10">
        <v>35156</v>
      </c>
      <c r="B10" s="11" t="s">
        <v>1228</v>
      </c>
      <c r="C10" s="23">
        <v>32.939466465869401</v>
      </c>
      <c r="D10" s="12">
        <v>1.0059949613849899</v>
      </c>
      <c r="E10" s="23">
        <f t="shared" si="0"/>
        <v>7.9723236990897828</v>
      </c>
      <c r="F10" s="12">
        <f t="shared" si="1"/>
        <v>1.0259257706327143</v>
      </c>
      <c r="G10" s="12">
        <f t="shared" si="2"/>
        <v>2.5595395820117835E-2</v>
      </c>
    </row>
    <row r="11" spans="1:11" ht="15" customHeight="1" x14ac:dyDescent="0.25">
      <c r="A11" s="10">
        <v>35247</v>
      </c>
      <c r="B11" s="11" t="s">
        <v>1228</v>
      </c>
      <c r="C11" s="23">
        <v>26.794866007895301</v>
      </c>
      <c r="D11" s="12">
        <v>1.00607460072177</v>
      </c>
      <c r="E11" s="23">
        <f t="shared" si="0"/>
        <v>6.0261570671715532</v>
      </c>
      <c r="F11" s="12">
        <f t="shared" si="1"/>
        <v>1.021139993389699</v>
      </c>
      <c r="G11" s="12">
        <f t="shared" si="2"/>
        <v>2.0919643779051183E-2</v>
      </c>
    </row>
    <row r="12" spans="1:11" ht="15" customHeight="1" x14ac:dyDescent="0.25">
      <c r="A12" s="10">
        <v>35339</v>
      </c>
      <c r="B12" s="11" t="s">
        <v>1228</v>
      </c>
      <c r="C12" s="23">
        <v>23.238726263466301</v>
      </c>
      <c r="D12" s="12">
        <v>1.00513177868388</v>
      </c>
      <c r="E12" s="23">
        <f t="shared" si="0"/>
        <v>4.9683802693276942</v>
      </c>
      <c r="F12" s="12">
        <f t="shared" si="1"/>
        <v>1.0175527293571993</v>
      </c>
      <c r="G12" s="12">
        <f t="shared" si="2"/>
        <v>1.7400459455953449E-2</v>
      </c>
    </row>
    <row r="13" spans="1:11" ht="15" customHeight="1" x14ac:dyDescent="0.25">
      <c r="A13" s="10">
        <v>35431</v>
      </c>
      <c r="B13" s="11" t="s">
        <v>1228</v>
      </c>
      <c r="C13" s="23">
        <v>18.763369008843299</v>
      </c>
      <c r="D13" s="12">
        <v>1.0048166539527399</v>
      </c>
      <c r="E13" s="23">
        <f t="shared" si="0"/>
        <v>3.717775020505</v>
      </c>
      <c r="F13" s="12">
        <f t="shared" si="1"/>
        <v>1.0141110915040024</v>
      </c>
      <c r="G13" s="12">
        <f t="shared" si="2"/>
        <v>1.401245686424011E-2</v>
      </c>
    </row>
    <row r="14" spans="1:11" ht="15" customHeight="1" x14ac:dyDescent="0.25">
      <c r="A14" s="10">
        <v>35521</v>
      </c>
      <c r="B14" s="11" t="s">
        <v>1228</v>
      </c>
      <c r="C14" s="23">
        <v>18.1394393712668</v>
      </c>
      <c r="D14" s="12">
        <v>1.0057913571514501</v>
      </c>
      <c r="E14" s="23">
        <f t="shared" si="0"/>
        <v>3.5511935284939544</v>
      </c>
      <c r="F14" s="12">
        <f t="shared" si="1"/>
        <v>1.014669340972685</v>
      </c>
      <c r="G14" s="12">
        <f t="shared" si="2"/>
        <v>1.4562786977677371E-2</v>
      </c>
    </row>
    <row r="15" spans="1:11" ht="15" customHeight="1" x14ac:dyDescent="0.25">
      <c r="A15" s="10">
        <v>35612</v>
      </c>
      <c r="B15" s="11" t="s">
        <v>1228</v>
      </c>
      <c r="C15" s="23">
        <v>15.812482743570699</v>
      </c>
      <c r="D15" s="12">
        <v>1.0071200227719601</v>
      </c>
      <c r="E15" s="23">
        <f t="shared" si="0"/>
        <v>2.9481656755060563</v>
      </c>
      <c r="F15" s="12">
        <f t="shared" si="1"/>
        <v>1.0144904369607253</v>
      </c>
      <c r="G15" s="12">
        <f t="shared" si="2"/>
        <v>1.4386453882207174E-2</v>
      </c>
    </row>
    <row r="16" spans="1:11" ht="15" customHeight="1" x14ac:dyDescent="0.25">
      <c r="A16" s="10">
        <v>35704</v>
      </c>
      <c r="B16" s="11" t="s">
        <v>1228</v>
      </c>
      <c r="C16" s="23">
        <v>22.7152577446642</v>
      </c>
      <c r="D16" s="12">
        <v>1.0077019231136899</v>
      </c>
      <c r="E16" s="23">
        <f t="shared" si="0"/>
        <v>4.8172837753165032</v>
      </c>
      <c r="F16" s="12">
        <f t="shared" si="1"/>
        <v>1.0197451325519811</v>
      </c>
      <c r="G16" s="12">
        <f t="shared" si="2"/>
        <v>1.9552726026380928E-2</v>
      </c>
    </row>
    <row r="17" spans="1:7" ht="15" customHeight="1" x14ac:dyDescent="0.25">
      <c r="A17" s="10">
        <v>35796</v>
      </c>
      <c r="B17" s="11" t="s">
        <v>1228</v>
      </c>
      <c r="C17" s="23">
        <v>22.109553375025701</v>
      </c>
      <c r="D17" s="12">
        <v>1.00864674869906</v>
      </c>
      <c r="E17" s="23">
        <f t="shared" si="0"/>
        <v>4.643990327195203</v>
      </c>
      <c r="F17" s="12">
        <f t="shared" si="1"/>
        <v>1.020256724517048</v>
      </c>
      <c r="G17" s="12">
        <f t="shared" si="2"/>
        <v>2.0054286330376644E-2</v>
      </c>
    </row>
    <row r="18" spans="1:7" ht="15" customHeight="1" x14ac:dyDescent="0.25">
      <c r="A18" s="10">
        <v>35886</v>
      </c>
      <c r="B18" s="11" t="s">
        <v>1228</v>
      </c>
      <c r="C18" s="23">
        <v>22.9410705422207</v>
      </c>
      <c r="D18" s="12">
        <v>1.0093421189390901</v>
      </c>
      <c r="E18" s="23">
        <f t="shared" si="0"/>
        <v>4.8823133203344691</v>
      </c>
      <c r="F18" s="12">
        <f t="shared" si="1"/>
        <v>1.0215479022399263</v>
      </c>
      <c r="G18" s="12">
        <f t="shared" si="2"/>
        <v>2.1319028194577538E-2</v>
      </c>
    </row>
    <row r="19" spans="1:7" ht="15" customHeight="1" x14ac:dyDescent="0.25">
      <c r="A19" s="10">
        <v>35977</v>
      </c>
      <c r="B19" s="11" t="s">
        <v>1228</v>
      </c>
      <c r="C19" s="23">
        <v>42.531639912024303</v>
      </c>
      <c r="D19" s="12">
        <v>1.0077839326720699</v>
      </c>
      <c r="E19" s="23">
        <f t="shared" si="0"/>
        <v>11.273113609334271</v>
      </c>
      <c r="F19" s="12">
        <f t="shared" si="1"/>
        <v>1.0359667166954056</v>
      </c>
      <c r="G19" s="12">
        <f t="shared" si="2"/>
        <v>3.5335016579330032E-2</v>
      </c>
    </row>
    <row r="20" spans="1:7" ht="15" customHeight="1" x14ac:dyDescent="0.25">
      <c r="A20" s="10">
        <v>36069</v>
      </c>
      <c r="B20" s="11" t="s">
        <v>1228</v>
      </c>
      <c r="C20" s="23">
        <v>50.805331052994397</v>
      </c>
      <c r="D20" s="12">
        <v>1.00767371454155</v>
      </c>
      <c r="E20" s="23">
        <f t="shared" si="0"/>
        <v>14.344576722493853</v>
      </c>
      <c r="F20" s="12">
        <f t="shared" si="1"/>
        <v>1.0435351563477846</v>
      </c>
      <c r="G20" s="12">
        <f t="shared" si="2"/>
        <v>4.2614137765664813E-2</v>
      </c>
    </row>
    <row r="21" spans="1:7" ht="15" customHeight="1" x14ac:dyDescent="0.25">
      <c r="A21" s="10">
        <v>36161</v>
      </c>
      <c r="B21" s="11" t="s">
        <v>1228</v>
      </c>
      <c r="C21" s="23">
        <v>58.427047012745902</v>
      </c>
      <c r="D21" s="12">
        <v>1.0074007596067101</v>
      </c>
      <c r="E21" s="23">
        <f t="shared" si="0"/>
        <v>17.337055360356537</v>
      </c>
      <c r="F21" s="12">
        <f t="shared" si="1"/>
        <v>1.0507433980076013</v>
      </c>
      <c r="G21" s="12">
        <f t="shared" si="2"/>
        <v>4.9497911759487451E-2</v>
      </c>
    </row>
    <row r="22" spans="1:7" ht="15" customHeight="1" x14ac:dyDescent="0.25">
      <c r="A22" s="10">
        <v>36251</v>
      </c>
      <c r="B22" s="11" t="s">
        <v>1228</v>
      </c>
      <c r="C22" s="23">
        <v>41.5280344678944</v>
      </c>
      <c r="D22" s="12">
        <v>1.00747398150695</v>
      </c>
      <c r="E22" s="23">
        <f t="shared" si="0"/>
        <v>10.914049321059304</v>
      </c>
      <c r="F22" s="12">
        <f t="shared" si="1"/>
        <v>1.0347591048095983</v>
      </c>
      <c r="G22" s="12">
        <f t="shared" si="2"/>
        <v>3.4168650650852353E-2</v>
      </c>
    </row>
    <row r="23" spans="1:7" ht="15" customHeight="1" x14ac:dyDescent="0.25">
      <c r="A23" s="10">
        <v>36342</v>
      </c>
      <c r="B23" s="11" t="s">
        <v>1228</v>
      </c>
      <c r="C23" s="23">
        <v>46.424434284247297</v>
      </c>
      <c r="D23" s="12">
        <v>1.00713543467012</v>
      </c>
      <c r="E23" s="23">
        <f t="shared" si="0"/>
        <v>12.694078173219285</v>
      </c>
      <c r="F23" s="12">
        <f t="shared" si="1"/>
        <v>1.0388706301031683</v>
      </c>
      <c r="G23" s="12">
        <f t="shared" si="2"/>
        <v>3.8134190508165661E-2</v>
      </c>
    </row>
    <row r="24" spans="1:7" ht="15" customHeight="1" x14ac:dyDescent="0.25">
      <c r="A24" s="10">
        <v>36434</v>
      </c>
      <c r="B24" s="11" t="s">
        <v>1228</v>
      </c>
      <c r="C24" s="23">
        <v>34.8101957576175</v>
      </c>
      <c r="D24" s="12">
        <v>1.00683978334063</v>
      </c>
      <c r="E24" s="23">
        <f t="shared" si="0"/>
        <v>8.5921966063158273</v>
      </c>
      <c r="F24" s="12">
        <f t="shared" si="1"/>
        <v>1.0283202748564195</v>
      </c>
      <c r="G24" s="12">
        <f t="shared" si="2"/>
        <v>2.7926669927659055E-2</v>
      </c>
    </row>
    <row r="25" spans="1:7" ht="15" customHeight="1" x14ac:dyDescent="0.25">
      <c r="A25" s="10">
        <v>36526</v>
      </c>
      <c r="B25" s="11" t="s">
        <v>1228</v>
      </c>
      <c r="C25" s="23">
        <v>29.423650715866099</v>
      </c>
      <c r="D25" s="12">
        <v>1.0079678053249199</v>
      </c>
      <c r="E25" s="23">
        <f t="shared" si="0"/>
        <v>6.8412637741224263</v>
      </c>
      <c r="F25" s="12">
        <f t="shared" si="1"/>
        <v>1.0250709647602261</v>
      </c>
      <c r="G25" s="12">
        <f t="shared" si="2"/>
        <v>2.4761844106230488E-2</v>
      </c>
    </row>
    <row r="26" spans="1:7" ht="15" customHeight="1" x14ac:dyDescent="0.25">
      <c r="A26" s="10">
        <v>36617</v>
      </c>
      <c r="B26" s="11" t="s">
        <v>1228</v>
      </c>
      <c r="C26" s="23">
        <v>32.837439843300501</v>
      </c>
      <c r="D26" s="12">
        <v>1.00532122777509</v>
      </c>
      <c r="E26" s="23">
        <f t="shared" si="0"/>
        <v>7.9388691690990258</v>
      </c>
      <c r="F26" s="12">
        <f t="shared" si="1"/>
        <v>1.0251684006978377</v>
      </c>
      <c r="G26" s="12">
        <f t="shared" si="2"/>
        <v>2.4856892459438909E-2</v>
      </c>
    </row>
    <row r="27" spans="1:7" ht="15" customHeight="1" x14ac:dyDescent="0.25">
      <c r="A27" s="10">
        <v>36708</v>
      </c>
      <c r="B27" s="11" t="s">
        <v>1228</v>
      </c>
      <c r="C27" s="23">
        <v>29.871719412354398</v>
      </c>
      <c r="D27" s="12">
        <v>1.0061796721884699</v>
      </c>
      <c r="E27" s="23">
        <f t="shared" si="0"/>
        <v>6.9828650235758198</v>
      </c>
      <c r="F27" s="12">
        <f t="shared" si="1"/>
        <v>1.0236368347474094</v>
      </c>
      <c r="G27" s="12">
        <f t="shared" si="2"/>
        <v>2.3361810145883458E-2</v>
      </c>
    </row>
    <row r="28" spans="1:7" ht="15" customHeight="1" x14ac:dyDescent="0.25">
      <c r="A28" s="10">
        <v>36800</v>
      </c>
      <c r="B28" s="11" t="s">
        <v>1228</v>
      </c>
      <c r="C28" s="23">
        <v>33.161527472216598</v>
      </c>
      <c r="D28" s="12">
        <v>1.00626148874091</v>
      </c>
      <c r="E28" s="23">
        <f t="shared" si="0"/>
        <v>8.045264830596027</v>
      </c>
      <c r="F28" s="12">
        <f t="shared" si="1"/>
        <v>1.0263746508174001</v>
      </c>
      <c r="G28" s="12">
        <f t="shared" si="2"/>
        <v>2.6032836837185481E-2</v>
      </c>
    </row>
    <row r="29" spans="1:7" ht="15" customHeight="1" x14ac:dyDescent="0.25">
      <c r="A29" s="10">
        <v>36892</v>
      </c>
      <c r="B29" s="11" t="s">
        <v>1229</v>
      </c>
      <c r="C29" s="11"/>
      <c r="D29" s="12">
        <v>1.00284060434695</v>
      </c>
      <c r="E29" s="23">
        <v>6.28125</v>
      </c>
      <c r="F29" s="12">
        <f t="shared" si="1"/>
        <v>1.0185437293469499</v>
      </c>
      <c r="G29" s="12">
        <f t="shared" si="2"/>
        <v>1.8373890811592356E-2</v>
      </c>
    </row>
    <row r="30" spans="1:7" ht="15" customHeight="1" x14ac:dyDescent="0.25">
      <c r="A30" s="10">
        <v>36982</v>
      </c>
      <c r="B30" s="11" t="s">
        <v>1229</v>
      </c>
      <c r="C30" s="11"/>
      <c r="D30" s="12">
        <v>1.0015388862965</v>
      </c>
      <c r="E30" s="23">
        <v>7.7558299999999996</v>
      </c>
      <c r="F30" s="12">
        <f t="shared" si="1"/>
        <v>1.0209284612964999</v>
      </c>
      <c r="G30" s="12">
        <f t="shared" si="2"/>
        <v>2.0712469437299621E-2</v>
      </c>
    </row>
    <row r="31" spans="1:7" ht="15" customHeight="1" x14ac:dyDescent="0.25">
      <c r="A31" s="10">
        <v>37073</v>
      </c>
      <c r="B31" s="11" t="s">
        <v>1229</v>
      </c>
      <c r="C31" s="11"/>
      <c r="D31" s="12">
        <v>0.99884232069366297</v>
      </c>
      <c r="E31" s="23">
        <v>11.768800000000001</v>
      </c>
      <c r="F31" s="12">
        <f t="shared" si="1"/>
        <v>1.028264320693663</v>
      </c>
      <c r="G31" s="12">
        <f t="shared" si="2"/>
        <v>2.7872255280295286E-2</v>
      </c>
    </row>
    <row r="32" spans="1:7" ht="15" customHeight="1" x14ac:dyDescent="0.25">
      <c r="A32" s="10">
        <v>37165</v>
      </c>
      <c r="B32" s="11" t="s">
        <v>1229</v>
      </c>
      <c r="C32" s="11"/>
      <c r="D32" s="12">
        <v>0.997891499503339</v>
      </c>
      <c r="E32" s="23">
        <v>8.2458299999999998</v>
      </c>
      <c r="F32" s="12">
        <f t="shared" si="1"/>
        <v>1.018506074503339</v>
      </c>
      <c r="G32" s="12">
        <f t="shared" si="2"/>
        <v>1.8336920833200987E-2</v>
      </c>
    </row>
    <row r="33" spans="1:7" ht="15" customHeight="1" x14ac:dyDescent="0.25">
      <c r="A33" s="10">
        <v>37257</v>
      </c>
      <c r="B33" s="11" t="s">
        <v>1229</v>
      </c>
      <c r="C33" s="11"/>
      <c r="D33" s="12">
        <v>1.0005733518026101</v>
      </c>
      <c r="E33" s="23">
        <v>7.18</v>
      </c>
      <c r="F33" s="12">
        <f t="shared" si="1"/>
        <v>1.01852335180261</v>
      </c>
      <c r="G33" s="12">
        <f t="shared" si="2"/>
        <v>1.8353884063136039E-2</v>
      </c>
    </row>
    <row r="34" spans="1:7" ht="15" customHeight="1" x14ac:dyDescent="0.25">
      <c r="A34" s="10">
        <v>37347</v>
      </c>
      <c r="B34" s="11" t="s">
        <v>1229</v>
      </c>
      <c r="C34" s="11"/>
      <c r="D34" s="12">
        <v>1.00092011205527</v>
      </c>
      <c r="E34" s="23">
        <v>21.9375</v>
      </c>
      <c r="F34" s="12">
        <f t="shared" si="1"/>
        <v>1.0557638620552701</v>
      </c>
      <c r="G34" s="12">
        <f t="shared" si="2"/>
        <v>5.4264544800436944E-2</v>
      </c>
    </row>
    <row r="35" spans="1:7" ht="15" customHeight="1" x14ac:dyDescent="0.25">
      <c r="A35" s="10">
        <v>37438</v>
      </c>
      <c r="B35" s="11" t="s">
        <v>1229</v>
      </c>
      <c r="C35" s="11"/>
      <c r="D35" s="12">
        <v>1.00147512253087</v>
      </c>
      <c r="E35" s="23">
        <v>37.333599999999997</v>
      </c>
      <c r="F35" s="12">
        <f t="shared" si="1"/>
        <v>1.09480912253087</v>
      </c>
      <c r="G35" s="12">
        <f t="shared" si="2"/>
        <v>9.0580030750027296E-2</v>
      </c>
    </row>
    <row r="36" spans="1:7" ht="15" customHeight="1" x14ac:dyDescent="0.25">
      <c r="A36" s="10">
        <v>37530</v>
      </c>
      <c r="B36" s="11" t="s">
        <v>1229</v>
      </c>
      <c r="C36" s="11"/>
      <c r="D36" s="12">
        <v>0.99924926677127901</v>
      </c>
      <c r="E36" s="23">
        <v>21.47</v>
      </c>
      <c r="F36" s="12">
        <f t="shared" si="1"/>
        <v>1.052924266771279</v>
      </c>
      <c r="G36" s="12">
        <f t="shared" si="2"/>
        <v>5.1571309170574182E-2</v>
      </c>
    </row>
    <row r="37" spans="1:7" ht="15" customHeight="1" x14ac:dyDescent="0.25">
      <c r="A37" s="10">
        <v>37622</v>
      </c>
      <c r="B37" s="11" t="s">
        <v>1229</v>
      </c>
      <c r="C37" s="11"/>
      <c r="D37" s="12">
        <v>0.99675105388602803</v>
      </c>
      <c r="E37" s="23">
        <v>13.6958</v>
      </c>
      <c r="F37" s="12">
        <f t="shared" si="1"/>
        <v>1.030990553886028</v>
      </c>
      <c r="G37" s="12">
        <f t="shared" si="2"/>
        <v>3.0520042903644087E-2</v>
      </c>
    </row>
    <row r="38" spans="1:7" ht="15" customHeight="1" x14ac:dyDescent="0.25">
      <c r="A38" s="10">
        <v>37712</v>
      </c>
      <c r="B38" s="11" t="s">
        <v>1229</v>
      </c>
      <c r="C38" s="11"/>
      <c r="D38" s="12">
        <v>0.99490657955525497</v>
      </c>
      <c r="E38" s="23">
        <v>8.8991699999999998</v>
      </c>
      <c r="F38" s="12">
        <f t="shared" si="1"/>
        <v>1.017154504555255</v>
      </c>
      <c r="G38" s="12">
        <f t="shared" si="2"/>
        <v>1.7009027410702204E-2</v>
      </c>
    </row>
    <row r="39" spans="1:7" ht="15" customHeight="1" x14ac:dyDescent="0.25">
      <c r="A39" s="10">
        <v>37803</v>
      </c>
      <c r="B39" s="11" t="s">
        <v>1229</v>
      </c>
      <c r="C39" s="11"/>
      <c r="D39" s="12">
        <v>0.99755848637169198</v>
      </c>
      <c r="E39" s="23">
        <v>7.63</v>
      </c>
      <c r="F39" s="12">
        <f t="shared" si="1"/>
        <v>1.0166334863716919</v>
      </c>
      <c r="G39" s="12">
        <f t="shared" si="2"/>
        <v>1.6496665062920263E-2</v>
      </c>
    </row>
    <row r="40" spans="1:7" ht="15" customHeight="1" x14ac:dyDescent="0.25">
      <c r="A40" s="10">
        <v>37895</v>
      </c>
      <c r="B40" s="11" t="s">
        <v>1229</v>
      </c>
      <c r="C40" s="11"/>
      <c r="D40" s="12">
        <v>0.99638265920036995</v>
      </c>
      <c r="E40" s="23">
        <v>4.0384399999999996</v>
      </c>
      <c r="F40" s="12">
        <f t="shared" si="1"/>
        <v>1.0064787592003699</v>
      </c>
      <c r="G40" s="12">
        <f t="shared" si="2"/>
        <v>6.4578622489637558E-3</v>
      </c>
    </row>
    <row r="41" spans="1:7" ht="15" customHeight="1" x14ac:dyDescent="0.25">
      <c r="A41" s="10">
        <v>37987</v>
      </c>
      <c r="B41" s="11" t="s">
        <v>1229</v>
      </c>
      <c r="C41" s="11"/>
      <c r="D41" s="12">
        <v>0.99731736633561097</v>
      </c>
      <c r="E41" s="23">
        <v>5.76607</v>
      </c>
      <c r="F41" s="12">
        <f t="shared" si="1"/>
        <v>1.0117325413356109</v>
      </c>
      <c r="G41" s="12">
        <f t="shared" si="2"/>
        <v>1.1664248717476722E-2</v>
      </c>
    </row>
    <row r="42" spans="1:7" ht="15" customHeight="1" x14ac:dyDescent="0.25">
      <c r="A42" s="10">
        <v>38078</v>
      </c>
      <c r="B42" s="11" t="s">
        <v>1229</v>
      </c>
      <c r="C42" s="11"/>
      <c r="D42" s="12">
        <v>0.998890033622719</v>
      </c>
      <c r="E42" s="23">
        <v>7.10853</v>
      </c>
      <c r="F42" s="12">
        <f t="shared" si="1"/>
        <v>1.0166613586227189</v>
      </c>
      <c r="G42" s="12">
        <f t="shared" si="2"/>
        <v>1.6524080910747078E-2</v>
      </c>
    </row>
    <row r="43" spans="1:7" ht="15" customHeight="1" x14ac:dyDescent="0.25">
      <c r="A43" s="10">
        <v>38169</v>
      </c>
      <c r="B43" s="11" t="s">
        <v>1229</v>
      </c>
      <c r="C43" s="11"/>
      <c r="D43" s="12">
        <v>0.99639576809200603</v>
      </c>
      <c r="E43" s="23">
        <v>4.3610899999999999</v>
      </c>
      <c r="F43" s="12">
        <f t="shared" si="1"/>
        <v>1.0072984930920059</v>
      </c>
      <c r="G43" s="12">
        <f t="shared" si="2"/>
        <v>7.2719879780925104E-3</v>
      </c>
    </row>
    <row r="44" spans="1:7" ht="15" customHeight="1" x14ac:dyDescent="0.25">
      <c r="A44" s="10">
        <v>38261</v>
      </c>
      <c r="B44" s="11" t="s">
        <v>1229</v>
      </c>
      <c r="C44" s="11"/>
      <c r="D44" s="12">
        <v>0.99926182510417405</v>
      </c>
      <c r="E44" s="23">
        <v>3.0609600000000001</v>
      </c>
      <c r="F44" s="12">
        <f t="shared" si="1"/>
        <v>1.0069142251041741</v>
      </c>
      <c r="G44" s="12">
        <f t="shared" si="2"/>
        <v>6.8904314632096345E-3</v>
      </c>
    </row>
    <row r="45" spans="1:7" ht="15" customHeight="1" x14ac:dyDescent="0.25">
      <c r="A45" s="10">
        <v>38353</v>
      </c>
      <c r="B45" s="11" t="s">
        <v>1229</v>
      </c>
      <c r="C45" s="11"/>
      <c r="D45" s="12">
        <v>0.99875507120827101</v>
      </c>
      <c r="E45" s="23">
        <v>4.2946900000000001</v>
      </c>
      <c r="F45" s="12">
        <f t="shared" si="1"/>
        <v>1.009491796208271</v>
      </c>
      <c r="G45" s="12">
        <f t="shared" si="2"/>
        <v>9.4470321486019946E-3</v>
      </c>
    </row>
    <row r="46" spans="1:7" ht="15" customHeight="1" x14ac:dyDescent="0.25">
      <c r="A46" s="10">
        <v>38443</v>
      </c>
      <c r="B46" s="11" t="s">
        <v>1229</v>
      </c>
      <c r="C46" s="11"/>
      <c r="D46" s="12">
        <v>0.99967791130246497</v>
      </c>
      <c r="E46" s="23">
        <v>3.22959</v>
      </c>
      <c r="F46" s="12">
        <f t="shared" si="1"/>
        <v>1.007751886302465</v>
      </c>
      <c r="G46" s="12">
        <f t="shared" si="2"/>
        <v>7.7219948094319904E-3</v>
      </c>
    </row>
    <row r="47" spans="1:7" ht="15" customHeight="1" x14ac:dyDescent="0.25">
      <c r="A47" s="10">
        <v>38534</v>
      </c>
      <c r="B47" s="11" t="s">
        <v>1229</v>
      </c>
      <c r="C47" s="11"/>
      <c r="D47" s="12">
        <v>1.0024134941188201</v>
      </c>
      <c r="E47" s="23">
        <v>2.4776199999999999</v>
      </c>
      <c r="F47" s="12">
        <f t="shared" si="1"/>
        <v>1.00860754411882</v>
      </c>
      <c r="G47" s="12">
        <f t="shared" si="2"/>
        <v>8.5707104251180038E-3</v>
      </c>
    </row>
    <row r="48" spans="1:7" ht="15" customHeight="1" x14ac:dyDescent="0.25">
      <c r="A48" s="10">
        <v>38626</v>
      </c>
      <c r="B48" s="11" t="s">
        <v>1229</v>
      </c>
      <c r="C48" s="11"/>
      <c r="D48" s="12">
        <v>0.99825781467350905</v>
      </c>
      <c r="E48" s="23">
        <v>2.2319300000000002</v>
      </c>
      <c r="F48" s="12">
        <f t="shared" si="1"/>
        <v>1.0038376396735091</v>
      </c>
      <c r="G48" s="12">
        <f t="shared" si="2"/>
        <v>3.8302947199035449E-3</v>
      </c>
    </row>
    <row r="49" spans="1:7" ht="15" customHeight="1" x14ac:dyDescent="0.25">
      <c r="A49" s="10">
        <v>38718</v>
      </c>
      <c r="B49" s="11" t="s">
        <v>1229</v>
      </c>
      <c r="C49" s="11"/>
      <c r="D49" s="12">
        <v>1.0032434333249201</v>
      </c>
      <c r="E49" s="23">
        <v>1.4698199999999999</v>
      </c>
      <c r="F49" s="12">
        <f t="shared" si="1"/>
        <v>1.00691798332492</v>
      </c>
      <c r="G49" s="12">
        <f t="shared" si="2"/>
        <v>6.8941638702395905E-3</v>
      </c>
    </row>
    <row r="50" spans="1:7" ht="15" customHeight="1" x14ac:dyDescent="0.25">
      <c r="A50" s="10">
        <v>38808</v>
      </c>
      <c r="B50" s="11" t="s">
        <v>1229</v>
      </c>
      <c r="C50" s="11"/>
      <c r="D50" s="12">
        <v>1.0037699191043099</v>
      </c>
      <c r="E50" s="23">
        <v>1.7141999999999999</v>
      </c>
      <c r="F50" s="12">
        <f t="shared" si="1"/>
        <v>1.0080554191043098</v>
      </c>
      <c r="G50" s="12">
        <f t="shared" si="2"/>
        <v>8.0231474080208511E-3</v>
      </c>
    </row>
    <row r="51" spans="1:7" ht="15" customHeight="1" x14ac:dyDescent="0.25">
      <c r="A51" s="10">
        <v>38899</v>
      </c>
      <c r="B51" s="11" t="s">
        <v>1229</v>
      </c>
      <c r="C51" s="11"/>
      <c r="D51" s="12">
        <v>1.0019545819232101</v>
      </c>
      <c r="E51" s="23">
        <v>1.3420300000000001</v>
      </c>
      <c r="F51" s="12">
        <f t="shared" si="1"/>
        <v>1.0053096569232101</v>
      </c>
      <c r="G51" s="12">
        <f t="shared" si="2"/>
        <v>5.2956103944498288E-3</v>
      </c>
    </row>
    <row r="52" spans="1:7" ht="15" customHeight="1" x14ac:dyDescent="0.25">
      <c r="A52" s="10">
        <v>38991</v>
      </c>
      <c r="B52" s="11" t="s">
        <v>1229</v>
      </c>
      <c r="C52" s="11"/>
      <c r="D52" s="12">
        <v>1.00738134953627</v>
      </c>
      <c r="E52" s="23">
        <v>0.99765899999999996</v>
      </c>
      <c r="F52" s="12">
        <f t="shared" si="1"/>
        <v>1.00987549703627</v>
      </c>
      <c r="G52" s="12">
        <f t="shared" si="2"/>
        <v>9.8270529936461855E-3</v>
      </c>
    </row>
    <row r="53" spans="1:7" ht="15" customHeight="1" x14ac:dyDescent="0.25">
      <c r="A53" s="10">
        <v>39083</v>
      </c>
      <c r="B53" s="11" t="s">
        <v>1229</v>
      </c>
      <c r="C53" s="11"/>
      <c r="D53" s="12">
        <v>1.0064031383751499</v>
      </c>
      <c r="E53" s="23">
        <v>0.83591000000000004</v>
      </c>
      <c r="F53" s="12">
        <f t="shared" si="1"/>
        <v>1.0084929133751499</v>
      </c>
      <c r="G53" s="12">
        <f t="shared" si="2"/>
        <v>8.4570514912085358E-3</v>
      </c>
    </row>
    <row r="54" spans="1:7" ht="15" customHeight="1" x14ac:dyDescent="0.25">
      <c r="A54" s="10">
        <v>39173</v>
      </c>
      <c r="B54" s="11" t="s">
        <v>1229</v>
      </c>
      <c r="C54" s="11"/>
      <c r="D54" s="12">
        <v>1.00488527002303</v>
      </c>
      <c r="E54" s="23">
        <v>0.74676399999999998</v>
      </c>
      <c r="F54" s="12">
        <f t="shared" si="1"/>
        <v>1.0067521800230299</v>
      </c>
      <c r="G54" s="12">
        <f t="shared" si="2"/>
        <v>6.729486153617798E-3</v>
      </c>
    </row>
    <row r="55" spans="1:7" ht="15" customHeight="1" x14ac:dyDescent="0.25">
      <c r="A55" s="10">
        <v>39264</v>
      </c>
      <c r="B55" s="11" t="s">
        <v>1229</v>
      </c>
      <c r="C55" s="11"/>
      <c r="D55" s="12">
        <v>1.0032813388856201</v>
      </c>
      <c r="E55" s="23">
        <v>0.85379700000000003</v>
      </c>
      <c r="F55" s="12">
        <f t="shared" si="1"/>
        <v>1.0054158313856201</v>
      </c>
      <c r="G55" s="12">
        <f t="shared" si="2"/>
        <v>5.4012185076667109E-3</v>
      </c>
    </row>
    <row r="56" spans="1:7" ht="15" customHeight="1" x14ac:dyDescent="0.25">
      <c r="A56" s="10">
        <v>39356</v>
      </c>
      <c r="B56" s="11" t="s">
        <v>1229</v>
      </c>
      <c r="C56" s="11"/>
      <c r="D56" s="12">
        <v>1.0006535375437</v>
      </c>
      <c r="E56" s="23">
        <v>1.0114799999999999</v>
      </c>
      <c r="F56" s="12">
        <f t="shared" si="1"/>
        <v>1.0031822375437001</v>
      </c>
      <c r="G56" s="12">
        <f t="shared" si="2"/>
        <v>3.1771849420225624E-3</v>
      </c>
    </row>
    <row r="57" spans="1:7" ht="15" customHeight="1" x14ac:dyDescent="0.25">
      <c r="A57" s="10">
        <v>39448</v>
      </c>
      <c r="B57" s="11" t="s">
        <v>1229</v>
      </c>
      <c r="C57" s="11"/>
      <c r="D57" s="12">
        <v>0.99314825592037503</v>
      </c>
      <c r="E57" s="23">
        <v>1.7748200000000001</v>
      </c>
      <c r="F57" s="12">
        <f t="shared" si="1"/>
        <v>0.99758530592037509</v>
      </c>
      <c r="G57" s="12">
        <f t="shared" si="2"/>
        <v>-2.417614155047011E-3</v>
      </c>
    </row>
    <row r="58" spans="1:7" ht="15" customHeight="1" x14ac:dyDescent="0.25">
      <c r="A58" s="10">
        <v>39539</v>
      </c>
      <c r="B58" s="11" t="s">
        <v>1229</v>
      </c>
      <c r="C58" s="11"/>
      <c r="D58" s="12">
        <v>0.99497812976976896</v>
      </c>
      <c r="E58" s="23">
        <v>1.19889</v>
      </c>
      <c r="F58" s="12">
        <f t="shared" si="1"/>
        <v>0.99797535476976895</v>
      </c>
      <c r="G58" s="12">
        <f t="shared" si="2"/>
        <v>-2.0266975950602008E-3</v>
      </c>
    </row>
    <row r="59" spans="1:7" ht="15" customHeight="1" x14ac:dyDescent="0.25">
      <c r="A59" s="10">
        <v>39630</v>
      </c>
      <c r="B59" s="11" t="s">
        <v>1229</v>
      </c>
      <c r="C59" s="11"/>
      <c r="D59" s="12">
        <v>0.99085711804118104</v>
      </c>
      <c r="E59" s="23">
        <v>1.80182</v>
      </c>
      <c r="F59" s="12">
        <f t="shared" si="1"/>
        <v>0.99536166804118109</v>
      </c>
      <c r="G59" s="12">
        <f t="shared" si="2"/>
        <v>-4.6491223998597446E-3</v>
      </c>
    </row>
    <row r="60" spans="1:7" ht="15" customHeight="1" x14ac:dyDescent="0.25">
      <c r="A60" s="10">
        <v>39722</v>
      </c>
      <c r="B60" s="11" t="s">
        <v>1229</v>
      </c>
      <c r="C60" s="11"/>
      <c r="D60" s="12">
        <v>0.98805005579160599</v>
      </c>
      <c r="E60" s="23">
        <v>3.0352000000000001</v>
      </c>
      <c r="F60" s="12">
        <f t="shared" si="1"/>
        <v>0.99563805579160602</v>
      </c>
      <c r="G60" s="12">
        <f t="shared" si="2"/>
        <v>-4.3714852421124226E-3</v>
      </c>
    </row>
    <row r="61" spans="1:7" ht="15" customHeight="1" x14ac:dyDescent="0.25">
      <c r="A61" s="10">
        <v>39814</v>
      </c>
      <c r="B61" s="11" t="s">
        <v>1229</v>
      </c>
      <c r="C61" s="11"/>
      <c r="D61" s="12">
        <v>1.0003960655764099</v>
      </c>
      <c r="E61" s="23">
        <v>3.2505199999999999</v>
      </c>
      <c r="F61" s="12">
        <f t="shared" si="1"/>
        <v>1.00852236557641</v>
      </c>
      <c r="G61" s="12">
        <f t="shared" si="2"/>
        <v>8.4862552375256691E-3</v>
      </c>
    </row>
    <row r="62" spans="1:7" ht="15" customHeight="1" x14ac:dyDescent="0.25">
      <c r="A62" s="10">
        <v>39904</v>
      </c>
      <c r="B62" s="11" t="s">
        <v>1229</v>
      </c>
      <c r="C62" s="11"/>
      <c r="D62" s="12">
        <v>1.00136829347965</v>
      </c>
      <c r="E62" s="23">
        <v>1.75105</v>
      </c>
      <c r="F62" s="12">
        <f t="shared" si="1"/>
        <v>1.00574591847965</v>
      </c>
      <c r="G62" s="12">
        <f t="shared" si="2"/>
        <v>5.7294736537443344E-3</v>
      </c>
    </row>
    <row r="63" spans="1:7" ht="15" customHeight="1" x14ac:dyDescent="0.25">
      <c r="A63" s="10">
        <v>39995</v>
      </c>
      <c r="B63" s="11" t="s">
        <v>1229</v>
      </c>
      <c r="C63" s="11"/>
      <c r="D63" s="12">
        <v>1.00322895268504</v>
      </c>
      <c r="E63" s="23">
        <v>1.2638400000000001</v>
      </c>
      <c r="F63" s="12">
        <f t="shared" si="1"/>
        <v>1.00638855268504</v>
      </c>
      <c r="G63" s="12">
        <f t="shared" si="2"/>
        <v>6.3682323813042067E-3</v>
      </c>
    </row>
    <row r="64" spans="1:7" ht="15" customHeight="1" x14ac:dyDescent="0.25">
      <c r="A64" s="10">
        <v>40087</v>
      </c>
      <c r="B64" s="11" t="s">
        <v>1229</v>
      </c>
      <c r="C64" s="11"/>
      <c r="D64" s="12">
        <v>1.0034348530925401</v>
      </c>
      <c r="E64" s="23">
        <v>1.22282</v>
      </c>
      <c r="F64" s="12">
        <f t="shared" si="1"/>
        <v>1.0064919030925401</v>
      </c>
      <c r="G64" s="12">
        <f t="shared" si="2"/>
        <v>6.4709214479045244E-3</v>
      </c>
    </row>
    <row r="65" spans="1:7" ht="15" customHeight="1" x14ac:dyDescent="0.25">
      <c r="A65" s="10">
        <v>40179</v>
      </c>
      <c r="B65" s="11" t="s">
        <v>1229</v>
      </c>
      <c r="C65" s="11"/>
      <c r="D65" s="12">
        <v>0.99345562052638503</v>
      </c>
      <c r="E65" s="23">
        <v>1.3106199999999999</v>
      </c>
      <c r="F65" s="12">
        <f t="shared" si="1"/>
        <v>0.99673217052638508</v>
      </c>
      <c r="G65" s="12">
        <f t="shared" si="2"/>
        <v>-3.2731804889998607E-3</v>
      </c>
    </row>
    <row r="66" spans="1:7" ht="15" customHeight="1" x14ac:dyDescent="0.25">
      <c r="A66" s="10">
        <v>40269</v>
      </c>
      <c r="B66" s="11" t="s">
        <v>1229</v>
      </c>
      <c r="C66" s="11"/>
      <c r="D66" s="12">
        <v>0.994655779761492</v>
      </c>
      <c r="E66" s="23">
        <v>1.39524</v>
      </c>
      <c r="F66" s="12">
        <f t="shared" ref="F66:F129" si="3">D66+E66/400</f>
        <v>0.99814387976149199</v>
      </c>
      <c r="G66" s="12">
        <f t="shared" ref="G66:G129" si="4">LN(F66)</f>
        <v>-1.8578449642071961E-3</v>
      </c>
    </row>
    <row r="67" spans="1:7" ht="15" customHeight="1" x14ac:dyDescent="0.25">
      <c r="A67" s="10">
        <v>40360</v>
      </c>
      <c r="B67" s="11" t="s">
        <v>1229</v>
      </c>
      <c r="C67" s="11"/>
      <c r="D67" s="12">
        <v>0.99758440574420004</v>
      </c>
      <c r="E67" s="23">
        <v>1.1606700000000001</v>
      </c>
      <c r="F67" s="12">
        <f t="shared" si="3"/>
        <v>1.0004860807442</v>
      </c>
      <c r="G67" s="12">
        <f t="shared" si="4"/>
        <v>4.859626452239139E-4</v>
      </c>
    </row>
    <row r="68" spans="1:7" ht="15" customHeight="1" x14ac:dyDescent="0.25">
      <c r="A68" s="10">
        <v>40452</v>
      </c>
      <c r="B68" s="11" t="s">
        <v>1229</v>
      </c>
      <c r="C68" s="11"/>
      <c r="D68" s="12">
        <v>0.99756750423190799</v>
      </c>
      <c r="E68" s="23">
        <v>1.1082399999999999</v>
      </c>
      <c r="F68" s="12">
        <f t="shared" si="3"/>
        <v>1.0003381042319079</v>
      </c>
      <c r="G68" s="12">
        <f t="shared" si="4"/>
        <v>3.3804708755226216E-4</v>
      </c>
    </row>
    <row r="69" spans="1:7" ht="15" customHeight="1" x14ac:dyDescent="0.25">
      <c r="A69" s="10">
        <v>40544</v>
      </c>
      <c r="B69" s="11" t="s">
        <v>1229</v>
      </c>
      <c r="C69" s="11"/>
      <c r="D69" s="12">
        <v>0.99667732349905902</v>
      </c>
      <c r="E69" s="23">
        <v>1.11042</v>
      </c>
      <c r="F69" s="12">
        <f t="shared" si="3"/>
        <v>0.99945337349905905</v>
      </c>
      <c r="G69" s="12">
        <f t="shared" si="4"/>
        <v>-5.4677595567314196E-4</v>
      </c>
    </row>
    <row r="70" spans="1:7" ht="15" customHeight="1" x14ac:dyDescent="0.25">
      <c r="A70" s="10">
        <v>40634</v>
      </c>
      <c r="B70" s="11" t="s">
        <v>1229</v>
      </c>
      <c r="C70" s="11"/>
      <c r="D70" s="12">
        <v>0.99364486216922898</v>
      </c>
      <c r="E70" s="23">
        <v>1.10362</v>
      </c>
      <c r="F70" s="12">
        <f t="shared" si="3"/>
        <v>0.99640391216922897</v>
      </c>
      <c r="G70" s="12">
        <f t="shared" si="4"/>
        <v>-3.6025692978965173E-3</v>
      </c>
    </row>
    <row r="71" spans="1:7" ht="15" customHeight="1" x14ac:dyDescent="0.25">
      <c r="A71" s="10">
        <v>40725</v>
      </c>
      <c r="B71" s="11" t="s">
        <v>1229</v>
      </c>
      <c r="C71" s="11"/>
      <c r="D71" s="12">
        <v>0.99145266040978597</v>
      </c>
      <c r="E71" s="23">
        <v>2.0001500000000001</v>
      </c>
      <c r="F71" s="12">
        <f t="shared" si="3"/>
        <v>0.99645303540978591</v>
      </c>
      <c r="G71" s="12">
        <f t="shared" si="4"/>
        <v>-3.5532699835362233E-3</v>
      </c>
    </row>
    <row r="72" spans="1:7" ht="15" customHeight="1" x14ac:dyDescent="0.25">
      <c r="A72" s="10">
        <v>40817</v>
      </c>
      <c r="B72" s="11" t="s">
        <v>1229</v>
      </c>
      <c r="C72" s="11"/>
      <c r="D72" s="12">
        <v>0.990712830724225</v>
      </c>
      <c r="E72" s="23">
        <v>1.5950899999999999</v>
      </c>
      <c r="F72" s="12">
        <f t="shared" si="3"/>
        <v>0.994700555724225</v>
      </c>
      <c r="G72" s="12">
        <f t="shared" si="4"/>
        <v>-5.313536138667997E-3</v>
      </c>
    </row>
    <row r="73" spans="1:7" ht="15" customHeight="1" x14ac:dyDescent="0.25">
      <c r="A73" s="10">
        <v>40909</v>
      </c>
      <c r="B73" s="11" t="s">
        <v>1229</v>
      </c>
      <c r="C73" s="11"/>
      <c r="D73" s="12">
        <v>0.99268163184486902</v>
      </c>
      <c r="E73" s="23">
        <v>1.20601</v>
      </c>
      <c r="F73" s="12">
        <f t="shared" si="3"/>
        <v>0.99569665684486897</v>
      </c>
      <c r="G73" s="12">
        <f t="shared" si="4"/>
        <v>-4.3126291865151481E-3</v>
      </c>
    </row>
    <row r="74" spans="1:7" ht="15" customHeight="1" x14ac:dyDescent="0.25">
      <c r="A74" s="10">
        <v>41000</v>
      </c>
      <c r="B74" s="11" t="s">
        <v>1229</v>
      </c>
      <c r="C74" s="11"/>
      <c r="D74" s="12">
        <v>0.99386640244891999</v>
      </c>
      <c r="E74" s="23">
        <v>1.5262500000000001</v>
      </c>
      <c r="F74" s="12">
        <f t="shared" si="3"/>
        <v>0.99768202744891998</v>
      </c>
      <c r="G74" s="12">
        <f t="shared" si="4"/>
        <v>-2.3206632081708054E-3</v>
      </c>
    </row>
    <row r="75" spans="1:7" ht="15" customHeight="1" x14ac:dyDescent="0.25">
      <c r="A75" s="10">
        <v>41091</v>
      </c>
      <c r="B75" s="11" t="s">
        <v>1229</v>
      </c>
      <c r="C75" s="11"/>
      <c r="D75" s="12">
        <v>0.996174804765671</v>
      </c>
      <c r="E75" s="23">
        <v>1.1232899999999999</v>
      </c>
      <c r="F75" s="12">
        <f t="shared" si="3"/>
        <v>0.99898302976567099</v>
      </c>
      <c r="G75" s="12">
        <f t="shared" si="4"/>
        <v>-1.0174876994185726E-3</v>
      </c>
    </row>
    <row r="76" spans="1:7" ht="15" customHeight="1" x14ac:dyDescent="0.25">
      <c r="A76" s="10">
        <v>41183</v>
      </c>
      <c r="B76" s="11" t="s">
        <v>1229</v>
      </c>
      <c r="C76" s="11"/>
      <c r="D76" s="12">
        <v>0.99534823896161095</v>
      </c>
      <c r="E76" s="23">
        <v>1.07704</v>
      </c>
      <c r="F76" s="12">
        <f t="shared" si="3"/>
        <v>0.998040838961611</v>
      </c>
      <c r="G76" s="12">
        <f t="shared" si="4"/>
        <v>-1.9610827046888718E-3</v>
      </c>
    </row>
    <row r="77" spans="1:7" ht="15" customHeight="1" x14ac:dyDescent="0.25">
      <c r="A77" s="10">
        <v>41275</v>
      </c>
      <c r="B77" s="11" t="s">
        <v>1229</v>
      </c>
      <c r="C77" s="11"/>
      <c r="D77" s="12">
        <v>0.99586153835430202</v>
      </c>
      <c r="E77" s="23">
        <v>1.3743000000000001</v>
      </c>
      <c r="F77" s="12">
        <f t="shared" si="3"/>
        <v>0.99929728835430198</v>
      </c>
      <c r="G77" s="12">
        <f t="shared" si="4"/>
        <v>-7.0295866325470566E-4</v>
      </c>
    </row>
    <row r="78" spans="1:7" ht="15" customHeight="1" x14ac:dyDescent="0.25">
      <c r="A78" s="10">
        <v>41365</v>
      </c>
      <c r="B78" s="11" t="s">
        <v>1229</v>
      </c>
      <c r="C78" s="11"/>
      <c r="D78" s="12">
        <v>0.99635282387620805</v>
      </c>
      <c r="E78" s="23">
        <v>1.8604000000000001</v>
      </c>
      <c r="F78" s="12">
        <f t="shared" si="3"/>
        <v>1.001003823876208</v>
      </c>
      <c r="G78" s="12">
        <f t="shared" si="4"/>
        <v>1.0033203819389952E-3</v>
      </c>
    </row>
    <row r="79" spans="1:7" ht="15" customHeight="1" x14ac:dyDescent="0.25">
      <c r="A79" s="10">
        <v>41456</v>
      </c>
      <c r="B79" s="11" t="s">
        <v>1229</v>
      </c>
      <c r="C79" s="11"/>
      <c r="D79" s="12">
        <v>0.99579731794813797</v>
      </c>
      <c r="E79" s="23">
        <v>1.77132</v>
      </c>
      <c r="F79" s="12">
        <f t="shared" si="3"/>
        <v>1.0002256179481379</v>
      </c>
      <c r="G79" s="12">
        <f t="shared" si="4"/>
        <v>2.2559250023624876E-4</v>
      </c>
    </row>
    <row r="80" spans="1:7" ht="15" customHeight="1" x14ac:dyDescent="0.25">
      <c r="A80" s="10">
        <v>41548</v>
      </c>
      <c r="B80" s="11" t="s">
        <v>1229</v>
      </c>
      <c r="C80" s="11"/>
      <c r="D80" s="12">
        <v>0.99745440969479604</v>
      </c>
      <c r="E80" s="23">
        <v>1.93</v>
      </c>
      <c r="F80" s="12">
        <f t="shared" si="3"/>
        <v>1.002279409694796</v>
      </c>
      <c r="G80" s="12">
        <f t="shared" si="4"/>
        <v>2.2768157814972317E-3</v>
      </c>
    </row>
    <row r="81" spans="1:7" ht="15" customHeight="1" x14ac:dyDescent="0.25">
      <c r="A81" s="10">
        <v>41640</v>
      </c>
      <c r="B81" s="11" t="s">
        <v>1229</v>
      </c>
      <c r="C81" s="11"/>
      <c r="D81" s="12">
        <v>0.99637623683136101</v>
      </c>
      <c r="E81" s="23">
        <v>1.71</v>
      </c>
      <c r="F81" s="12">
        <f t="shared" si="3"/>
        <v>1.0006512368313609</v>
      </c>
      <c r="G81" s="12">
        <f t="shared" si="4"/>
        <v>6.5102486867594264E-4</v>
      </c>
    </row>
    <row r="82" spans="1:7" ht="15" customHeight="1" x14ac:dyDescent="0.25">
      <c r="A82" s="10">
        <v>41730</v>
      </c>
      <c r="B82" s="11" t="s">
        <v>1229</v>
      </c>
      <c r="C82" s="11"/>
      <c r="D82" s="12">
        <v>0.99610616548209896</v>
      </c>
      <c r="E82" s="23">
        <v>1.4369499999999999</v>
      </c>
      <c r="F82" s="12">
        <f t="shared" si="3"/>
        <v>0.99969854048209894</v>
      </c>
      <c r="G82" s="12">
        <f t="shared" si="4"/>
        <v>-3.0150496595558778E-4</v>
      </c>
    </row>
    <row r="83" spans="1:7" ht="15" customHeight="1" x14ac:dyDescent="0.25">
      <c r="A83" s="10">
        <v>41821</v>
      </c>
      <c r="B83" s="11" t="s">
        <v>1229</v>
      </c>
      <c r="C83" s="11"/>
      <c r="D83" s="12">
        <v>0.99496748068974905</v>
      </c>
      <c r="E83" s="23">
        <v>1.76197</v>
      </c>
      <c r="F83" s="12">
        <f t="shared" si="3"/>
        <v>0.99937240568974905</v>
      </c>
      <c r="G83" s="12">
        <f t="shared" si="4"/>
        <v>-6.2779132999670178E-4</v>
      </c>
    </row>
    <row r="84" spans="1:7" ht="15" customHeight="1" x14ac:dyDescent="0.25">
      <c r="A84" s="10">
        <v>41913</v>
      </c>
      <c r="B84" s="11" t="s">
        <v>1229</v>
      </c>
      <c r="C84" s="11"/>
      <c r="D84" s="12">
        <v>0.99590666501161096</v>
      </c>
      <c r="E84" s="23">
        <v>1.9754700000000001</v>
      </c>
      <c r="F84" s="12">
        <f t="shared" si="3"/>
        <v>1.0008453400116109</v>
      </c>
      <c r="G84" s="12">
        <f t="shared" si="4"/>
        <v>8.4498291297557522E-4</v>
      </c>
    </row>
    <row r="85" spans="1:7" ht="15" customHeight="1" x14ac:dyDescent="0.25">
      <c r="A85" s="10">
        <v>42005</v>
      </c>
      <c r="B85" s="11" t="s">
        <v>1229</v>
      </c>
      <c r="C85" s="11"/>
      <c r="D85" s="12">
        <v>0.99843948027659601</v>
      </c>
      <c r="E85" s="23">
        <v>2.8165</v>
      </c>
      <c r="F85" s="12">
        <f t="shared" si="3"/>
        <v>1.005480730276596</v>
      </c>
      <c r="G85" s="12">
        <f t="shared" si="4"/>
        <v>5.4657657272858314E-3</v>
      </c>
    </row>
    <row r="86" spans="1:7" ht="15" customHeight="1" x14ac:dyDescent="0.25">
      <c r="A86" s="10">
        <v>42095</v>
      </c>
      <c r="B86" s="11" t="s">
        <v>1229</v>
      </c>
      <c r="C86" s="11"/>
      <c r="D86" s="12">
        <v>1.0000982101036</v>
      </c>
      <c r="E86" s="23">
        <v>2.61</v>
      </c>
      <c r="F86" s="12">
        <f t="shared" si="3"/>
        <v>1.0066232101035999</v>
      </c>
      <c r="G86" s="12">
        <f t="shared" si="4"/>
        <v>6.6013730156119759E-3</v>
      </c>
    </row>
    <row r="87" spans="1:7" ht="15" customHeight="1" x14ac:dyDescent="0.25">
      <c r="A87" s="10">
        <v>42186</v>
      </c>
      <c r="B87" s="11" t="s">
        <v>1229</v>
      </c>
      <c r="C87" s="11"/>
      <c r="D87" s="12">
        <v>0.99959170434723399</v>
      </c>
      <c r="E87" s="23">
        <v>4.7699999999999996</v>
      </c>
      <c r="F87" s="12">
        <f t="shared" si="3"/>
        <v>1.011516704347234</v>
      </c>
      <c r="G87" s="12">
        <f t="shared" si="4"/>
        <v>1.1450891920575683E-2</v>
      </c>
    </row>
    <row r="88" spans="1:7" ht="15" customHeight="1" x14ac:dyDescent="0.25">
      <c r="A88" s="10">
        <v>42278</v>
      </c>
      <c r="B88" s="11" t="s">
        <v>1229</v>
      </c>
      <c r="C88" s="11"/>
      <c r="D88" s="12">
        <v>1.00054299863117</v>
      </c>
      <c r="E88" s="23">
        <v>5</v>
      </c>
      <c r="F88" s="12">
        <f t="shared" si="3"/>
        <v>1.01304299863117</v>
      </c>
      <c r="G88" s="12">
        <f t="shared" si="4"/>
        <v>1.2958671188183217E-2</v>
      </c>
    </row>
    <row r="89" spans="1:7" ht="15" customHeight="1" x14ac:dyDescent="0.25">
      <c r="A89" s="10">
        <v>42370</v>
      </c>
      <c r="B89" s="11" t="s">
        <v>1229</v>
      </c>
      <c r="C89" s="11"/>
      <c r="D89" s="12">
        <v>0.99915292697461</v>
      </c>
      <c r="E89" s="23">
        <v>3.67</v>
      </c>
      <c r="F89" s="12">
        <f t="shared" si="3"/>
        <v>1.0083279269746099</v>
      </c>
      <c r="G89" s="12">
        <f t="shared" si="4"/>
        <v>8.293441122248453E-3</v>
      </c>
    </row>
    <row r="90" spans="1:7" ht="15" customHeight="1" x14ac:dyDescent="0.25">
      <c r="A90" s="10">
        <v>42461</v>
      </c>
      <c r="B90" s="11" t="s">
        <v>1229</v>
      </c>
      <c r="C90" s="11"/>
      <c r="D90" s="12">
        <v>0.99845253562153102</v>
      </c>
      <c r="E90" s="23">
        <v>3.15</v>
      </c>
      <c r="F90" s="12">
        <f t="shared" si="3"/>
        <v>1.0063275356215311</v>
      </c>
      <c r="G90" s="12">
        <f t="shared" si="4"/>
        <v>6.3076008159462264E-3</v>
      </c>
    </row>
    <row r="91" spans="1:7" ht="15" customHeight="1" x14ac:dyDescent="0.25">
      <c r="A91" s="10">
        <v>42552</v>
      </c>
      <c r="B91" s="11" t="s">
        <v>1229</v>
      </c>
      <c r="C91" s="11"/>
      <c r="D91" s="12">
        <v>0.99803604000476298</v>
      </c>
      <c r="E91" s="23">
        <v>2.72</v>
      </c>
      <c r="F91" s="12">
        <f t="shared" si="3"/>
        <v>1.0048360400047629</v>
      </c>
      <c r="G91" s="12">
        <f t="shared" si="4"/>
        <v>4.8243839276966667E-3</v>
      </c>
    </row>
    <row r="92" spans="1:7" ht="15" customHeight="1" x14ac:dyDescent="0.25">
      <c r="A92" s="10">
        <v>42644</v>
      </c>
      <c r="B92" s="11" t="s">
        <v>1229</v>
      </c>
      <c r="C92" s="11"/>
      <c r="D92" s="12">
        <v>0.99743056260484997</v>
      </c>
      <c r="E92" s="23">
        <v>2.8050000000000002</v>
      </c>
      <c r="F92" s="12">
        <f t="shared" si="3"/>
        <v>1.0044430626048499</v>
      </c>
      <c r="G92" s="12">
        <f t="shared" si="4"/>
        <v>4.4332213416594249E-3</v>
      </c>
    </row>
    <row r="93" spans="1:7" ht="15" customHeight="1" x14ac:dyDescent="0.25">
      <c r="A93" s="10">
        <v>42736</v>
      </c>
      <c r="B93" s="11" t="s">
        <v>1229</v>
      </c>
      <c r="C93" s="11"/>
      <c r="D93" s="12">
        <v>0.996799346946594</v>
      </c>
      <c r="E93" s="23">
        <v>2.25</v>
      </c>
      <c r="F93" s="12">
        <f t="shared" si="3"/>
        <v>1.0024243469465941</v>
      </c>
      <c r="G93" s="12">
        <f t="shared" si="4"/>
        <v>2.4214129585818402E-3</v>
      </c>
    </row>
    <row r="94" spans="1:7" ht="15" customHeight="1" x14ac:dyDescent="0.25">
      <c r="A94" s="10">
        <v>42826</v>
      </c>
      <c r="B94" s="11" t="s">
        <v>1229</v>
      </c>
      <c r="C94" s="11"/>
      <c r="D94" s="12">
        <v>0.99647173100021702</v>
      </c>
      <c r="E94" s="23">
        <v>2.41</v>
      </c>
      <c r="F94" s="12">
        <f t="shared" si="3"/>
        <v>1.0024967310002171</v>
      </c>
      <c r="G94" s="12">
        <f t="shared" si="4"/>
        <v>2.4936193456068616E-3</v>
      </c>
    </row>
    <row r="95" spans="1:7" ht="15" customHeight="1" x14ac:dyDescent="0.25">
      <c r="A95" s="10">
        <v>42917</v>
      </c>
      <c r="B95" s="11" t="s">
        <v>1229</v>
      </c>
      <c r="C95" s="11"/>
      <c r="D95" s="12">
        <v>0.99855274552857598</v>
      </c>
      <c r="E95" s="23">
        <v>1.95</v>
      </c>
      <c r="F95" s="12">
        <f t="shared" si="3"/>
        <v>1.0034277455285761</v>
      </c>
      <c r="G95" s="12">
        <f t="shared" si="4"/>
        <v>3.421884199149888E-3</v>
      </c>
    </row>
    <row r="96" spans="1:7" ht="15" customHeight="1" x14ac:dyDescent="0.25">
      <c r="A96" s="10">
        <v>43009</v>
      </c>
      <c r="B96" s="11" t="s">
        <v>1229</v>
      </c>
      <c r="C96" s="11"/>
      <c r="D96" s="12">
        <v>0.99794945703091797</v>
      </c>
      <c r="E96" s="23">
        <v>1.61</v>
      </c>
      <c r="F96" s="12">
        <f t="shared" si="3"/>
        <v>1.0019744570309179</v>
      </c>
      <c r="G96" s="12">
        <f t="shared" si="4"/>
        <v>1.9725103526350251E-3</v>
      </c>
    </row>
    <row r="97" spans="1:7" ht="15" customHeight="1" x14ac:dyDescent="0.25">
      <c r="A97" s="10">
        <v>43101</v>
      </c>
      <c r="B97" s="11" t="s">
        <v>1229</v>
      </c>
      <c r="C97" s="11"/>
      <c r="D97" s="12">
        <v>0.99904305496190005</v>
      </c>
      <c r="E97" s="23">
        <v>1.63</v>
      </c>
      <c r="F97" s="12">
        <f t="shared" si="3"/>
        <v>1.0031180549619001</v>
      </c>
      <c r="G97" s="12">
        <f t="shared" si="4"/>
        <v>3.1132039098095785E-3</v>
      </c>
    </row>
    <row r="98" spans="1:7" ht="15" customHeight="1" x14ac:dyDescent="0.25">
      <c r="A98" s="10">
        <v>43191</v>
      </c>
      <c r="B98" s="11" t="s">
        <v>1229</v>
      </c>
      <c r="C98" s="11"/>
      <c r="D98" s="12">
        <v>0.99907373881281603</v>
      </c>
      <c r="E98" s="23">
        <v>2.75</v>
      </c>
      <c r="F98" s="12">
        <f t="shared" si="3"/>
        <v>1.0059487388128161</v>
      </c>
      <c r="G98" s="12">
        <f t="shared" si="4"/>
        <v>5.9311149248170358E-3</v>
      </c>
    </row>
    <row r="99" spans="1:7" ht="15" customHeight="1" x14ac:dyDescent="0.25">
      <c r="A99" s="10">
        <v>43282</v>
      </c>
      <c r="B99" s="11" t="s">
        <v>1229</v>
      </c>
      <c r="C99" s="11"/>
      <c r="D99" s="12">
        <v>0.99848823078256399</v>
      </c>
      <c r="E99" s="23">
        <v>2.65</v>
      </c>
      <c r="F99" s="12">
        <f t="shared" si="3"/>
        <v>1.0051132307825641</v>
      </c>
      <c r="G99" s="12">
        <f t="shared" si="4"/>
        <v>5.1002026098765519E-3</v>
      </c>
    </row>
    <row r="100" spans="1:7" ht="15" customHeight="1" x14ac:dyDescent="0.25">
      <c r="A100" s="10">
        <v>43374</v>
      </c>
      <c r="B100" s="11" t="s">
        <v>1229</v>
      </c>
      <c r="C100" s="11"/>
      <c r="D100" s="12">
        <v>1.0002433568344</v>
      </c>
      <c r="E100" s="23">
        <v>2.0362</v>
      </c>
      <c r="F100" s="12">
        <f t="shared" si="3"/>
        <v>1.0053338568344001</v>
      </c>
      <c r="G100" s="12">
        <f t="shared" si="4"/>
        <v>5.3196822013371796E-3</v>
      </c>
    </row>
    <row r="101" spans="1:7" ht="15" customHeight="1" x14ac:dyDescent="0.25">
      <c r="A101" s="10">
        <v>43466</v>
      </c>
      <c r="B101" s="11" t="s">
        <v>1229</v>
      </c>
      <c r="C101" s="11"/>
      <c r="D101" s="12">
        <v>1.0011489334042201</v>
      </c>
      <c r="E101" s="23">
        <v>1.74342</v>
      </c>
      <c r="F101" s="12">
        <f t="shared" si="3"/>
        <v>1.0055074834042201</v>
      </c>
      <c r="G101" s="12">
        <f t="shared" si="4"/>
        <v>5.4923726735063008E-3</v>
      </c>
    </row>
    <row r="102" spans="1:7" ht="15" customHeight="1" x14ac:dyDescent="0.25">
      <c r="A102" s="10">
        <v>43556</v>
      </c>
      <c r="B102" s="11" t="s">
        <v>1229</v>
      </c>
      <c r="C102" s="11"/>
      <c r="D102" s="12">
        <v>1.00086980240247</v>
      </c>
      <c r="E102" s="23">
        <v>1.4903299999999999</v>
      </c>
      <c r="F102" s="12">
        <f t="shared" si="3"/>
        <v>1.0045956274024701</v>
      </c>
      <c r="G102" s="12">
        <f t="shared" si="4"/>
        <v>4.5850997486530411E-3</v>
      </c>
    </row>
    <row r="103" spans="1:7" ht="15" customHeight="1" x14ac:dyDescent="0.25">
      <c r="A103" s="10">
        <v>43647</v>
      </c>
      <c r="B103" s="11" t="s">
        <v>1229</v>
      </c>
      <c r="C103" s="11"/>
      <c r="D103" s="12">
        <v>1.00066927629311</v>
      </c>
      <c r="E103" s="23">
        <v>1.3525799999999999</v>
      </c>
      <c r="F103" s="12">
        <f t="shared" si="3"/>
        <v>1.00405072629311</v>
      </c>
      <c r="G103" s="12">
        <f t="shared" si="4"/>
        <v>4.0425441895579218E-3</v>
      </c>
    </row>
    <row r="104" spans="1:7" ht="15" customHeight="1" x14ac:dyDescent="0.25">
      <c r="A104" s="10">
        <v>43739</v>
      </c>
      <c r="B104" s="11" t="s">
        <v>1229</v>
      </c>
      <c r="C104" s="11"/>
      <c r="D104" s="12">
        <v>0.99974028084239297</v>
      </c>
      <c r="E104" s="23">
        <v>0.99016099999999996</v>
      </c>
      <c r="F104" s="12">
        <f t="shared" si="3"/>
        <v>1.002215683342393</v>
      </c>
      <c r="G104" s="12">
        <f t="shared" si="4"/>
        <v>2.2132323358246865E-3</v>
      </c>
    </row>
    <row r="105" spans="1:7" ht="15" customHeight="1" x14ac:dyDescent="0.25">
      <c r="A105" s="10">
        <v>43831</v>
      </c>
      <c r="B105" s="11" t="s">
        <v>1229</v>
      </c>
      <c r="C105" s="11"/>
      <c r="D105" s="12">
        <v>0.99502789028458805</v>
      </c>
      <c r="E105" s="23">
        <v>2.69753</v>
      </c>
      <c r="F105" s="12">
        <f t="shared" si="3"/>
        <v>1.001771715284588</v>
      </c>
      <c r="G105" s="12">
        <f t="shared" si="4"/>
        <v>1.7701476483933697E-3</v>
      </c>
    </row>
    <row r="106" spans="1:7" ht="15" customHeight="1" x14ac:dyDescent="0.25">
      <c r="A106" s="10">
        <v>43922</v>
      </c>
      <c r="B106" s="11" t="s">
        <v>1229</v>
      </c>
      <c r="C106" s="11"/>
      <c r="D106" s="12">
        <v>0.99669059814713901</v>
      </c>
      <c r="E106" s="23">
        <v>2.4628399999999999</v>
      </c>
      <c r="F106" s="12">
        <f t="shared" si="3"/>
        <v>1.002847698147139</v>
      </c>
      <c r="G106" s="12">
        <f t="shared" si="4"/>
        <v>2.8436511360605556E-3</v>
      </c>
    </row>
    <row r="107" spans="1:7" ht="15" customHeight="1" x14ac:dyDescent="0.25">
      <c r="A107" s="10">
        <v>44013</v>
      </c>
      <c r="B107" s="11" t="s">
        <v>1229</v>
      </c>
      <c r="C107" s="11"/>
      <c r="D107" s="12">
        <v>0.99847792013661596</v>
      </c>
      <c r="E107" s="23">
        <v>2.4438300000000002</v>
      </c>
      <c r="F107" s="12">
        <f t="shared" si="3"/>
        <v>1.004587495136616</v>
      </c>
      <c r="G107" s="12">
        <f t="shared" si="4"/>
        <v>4.5770046519315218E-3</v>
      </c>
    </row>
    <row r="108" spans="1:7" ht="15" customHeight="1" x14ac:dyDescent="0.25">
      <c r="A108" s="10">
        <v>44105</v>
      </c>
      <c r="B108" s="11" t="s">
        <v>1229</v>
      </c>
      <c r="C108" s="11"/>
      <c r="D108" s="12">
        <v>0.99675457786043897</v>
      </c>
      <c r="E108" s="23">
        <v>1.4221699999999999</v>
      </c>
      <c r="F108" s="12">
        <f t="shared" si="3"/>
        <v>1.000310002860439</v>
      </c>
      <c r="G108" s="12">
        <f t="shared" si="4"/>
        <v>3.0995481948058894E-4</v>
      </c>
    </row>
    <row r="109" spans="1:7" ht="15" customHeight="1" x14ac:dyDescent="0.25">
      <c r="A109" s="10">
        <v>44197</v>
      </c>
      <c r="B109" s="11" t="s">
        <v>1229</v>
      </c>
      <c r="C109" s="11"/>
      <c r="D109" s="12">
        <v>0.99677950696203699</v>
      </c>
      <c r="E109" s="23">
        <v>2.20105</v>
      </c>
      <c r="F109" s="12">
        <f t="shared" si="3"/>
        <v>1.002282131962037</v>
      </c>
      <c r="G109" s="12">
        <f t="shared" si="4"/>
        <v>2.2795318539992654E-3</v>
      </c>
    </row>
    <row r="110" spans="1:7" ht="15" customHeight="1" x14ac:dyDescent="0.25">
      <c r="A110" s="10">
        <v>44287</v>
      </c>
      <c r="B110" s="11" t="s">
        <v>1229</v>
      </c>
      <c r="C110" s="11"/>
      <c r="D110" s="12">
        <v>0.99351930622442997</v>
      </c>
      <c r="E110" s="23">
        <v>1.63686</v>
      </c>
      <c r="F110" s="12">
        <f t="shared" si="3"/>
        <v>0.99761145622442993</v>
      </c>
      <c r="G110" s="12">
        <f t="shared" si="4"/>
        <v>-2.3914008967333544E-3</v>
      </c>
    </row>
    <row r="111" spans="1:7" ht="15" customHeight="1" x14ac:dyDescent="0.25">
      <c r="A111" s="10">
        <v>44378</v>
      </c>
      <c r="B111" s="11" t="s">
        <v>1229</v>
      </c>
      <c r="C111" s="11"/>
      <c r="D111" s="12">
        <v>0.98726865918906404</v>
      </c>
      <c r="E111" s="23">
        <v>2.0357099999999999</v>
      </c>
      <c r="F111" s="12">
        <f t="shared" si="3"/>
        <v>0.99235793418906404</v>
      </c>
      <c r="G111" s="12">
        <f t="shared" si="4"/>
        <v>-7.6714160223136617E-3</v>
      </c>
    </row>
    <row r="112" spans="1:7" ht="15" customHeight="1" x14ac:dyDescent="0.25">
      <c r="A112" s="10">
        <v>44470</v>
      </c>
      <c r="B112" s="11" t="s">
        <v>1229</v>
      </c>
      <c r="C112" s="11"/>
      <c r="D112" s="12">
        <v>0.98718793262950399</v>
      </c>
      <c r="E112" s="23">
        <v>2.0355400000000001</v>
      </c>
      <c r="F112" s="12">
        <f t="shared" si="3"/>
        <v>0.99227678262950403</v>
      </c>
      <c r="G112" s="12">
        <f t="shared" si="4"/>
        <v>-7.7531958671561698E-3</v>
      </c>
    </row>
    <row r="113" spans="1:7" ht="15" customHeight="1" x14ac:dyDescent="0.25">
      <c r="A113" s="10">
        <v>44562</v>
      </c>
      <c r="B113" s="11" t="s">
        <v>1229</v>
      </c>
      <c r="C113" s="11"/>
      <c r="D113" s="12">
        <v>0.98391565217644505</v>
      </c>
      <c r="E113" s="23">
        <v>2.0613899999999998</v>
      </c>
      <c r="F113" s="12">
        <f t="shared" si="3"/>
        <v>0.98906912717644502</v>
      </c>
      <c r="G113" s="12">
        <f t="shared" si="4"/>
        <v>-1.0991053769232938E-2</v>
      </c>
    </row>
    <row r="114" spans="1:7" ht="15" customHeight="1" x14ac:dyDescent="0.25">
      <c r="A114" s="10">
        <v>44652</v>
      </c>
      <c r="B114" s="11" t="s">
        <v>1229</v>
      </c>
      <c r="C114" s="11"/>
      <c r="D114" s="12">
        <v>0.98340724013976599</v>
      </c>
      <c r="E114" s="23">
        <v>2.90564</v>
      </c>
      <c r="F114" s="12">
        <f t="shared" si="3"/>
        <v>0.99067134013976599</v>
      </c>
      <c r="G114" s="12">
        <f t="shared" si="4"/>
        <v>-9.3724443205958213E-3</v>
      </c>
    </row>
    <row r="115" spans="1:7" ht="15" customHeight="1" x14ac:dyDescent="0.25">
      <c r="A115" s="10">
        <v>44743</v>
      </c>
      <c r="B115" s="11" t="s">
        <v>1229</v>
      </c>
      <c r="C115" s="11"/>
      <c r="D115" s="12">
        <v>0.98659611950126602</v>
      </c>
      <c r="E115" s="23">
        <v>3.04433</v>
      </c>
      <c r="F115" s="12">
        <f t="shared" si="3"/>
        <v>0.99420694450126601</v>
      </c>
      <c r="G115" s="12">
        <f t="shared" si="4"/>
        <v>-5.8099003316106866E-3</v>
      </c>
    </row>
    <row r="116" spans="1:7" ht="15" customHeight="1" x14ac:dyDescent="0.25">
      <c r="A116" s="10">
        <v>44835</v>
      </c>
      <c r="B116" s="11" t="s">
        <v>1229</v>
      </c>
      <c r="C116" s="11"/>
      <c r="D116" s="12">
        <v>0.99115844731215796</v>
      </c>
      <c r="E116" s="23">
        <v>2.5150199999999998</v>
      </c>
      <c r="F116" s="12">
        <f t="shared" si="3"/>
        <v>0.99744599731215799</v>
      </c>
      <c r="G116" s="12">
        <f t="shared" si="4"/>
        <v>-2.5572697165590443E-3</v>
      </c>
    </row>
    <row r="117" spans="1:7" ht="15" customHeight="1" x14ac:dyDescent="0.25">
      <c r="A117" s="10">
        <v>44927</v>
      </c>
      <c r="B117" s="11" t="s">
        <v>1229</v>
      </c>
      <c r="C117" s="11"/>
      <c r="D117" s="12">
        <v>0.99652186593409497</v>
      </c>
      <c r="E117" s="23">
        <v>2.2479499999999999</v>
      </c>
      <c r="F117" s="12">
        <f t="shared" si="3"/>
        <v>1.0021417409340949</v>
      </c>
      <c r="G117" s="12">
        <f t="shared" si="4"/>
        <v>2.13945067648986E-3</v>
      </c>
    </row>
    <row r="118" spans="1:7" ht="15" customHeight="1" x14ac:dyDescent="0.25">
      <c r="A118" s="10">
        <v>45017</v>
      </c>
      <c r="B118" s="11" t="s">
        <v>1229</v>
      </c>
      <c r="C118" s="11"/>
      <c r="D118" s="12">
        <v>1.0014284363505499</v>
      </c>
      <c r="E118" s="23">
        <v>1.74861</v>
      </c>
      <c r="F118" s="12">
        <f t="shared" si="3"/>
        <v>1.0057999613505499</v>
      </c>
      <c r="G118" s="12">
        <f t="shared" si="4"/>
        <v>5.783206329150678E-3</v>
      </c>
    </row>
    <row r="119" spans="1:7" ht="15" customHeight="1" x14ac:dyDescent="0.25">
      <c r="A119" s="10">
        <v>45108</v>
      </c>
      <c r="B119" s="11" t="s">
        <v>1229</v>
      </c>
      <c r="C119" s="11"/>
      <c r="D119" s="12">
        <v>1.0062609353534999</v>
      </c>
      <c r="E119" s="23">
        <v>1.8715999999999999</v>
      </c>
      <c r="F119" s="12">
        <f t="shared" si="3"/>
        <v>1.0109399353535</v>
      </c>
      <c r="G119" s="12">
        <f t="shared" si="4"/>
        <v>1.0880527149289122E-2</v>
      </c>
    </row>
    <row r="120" spans="1:7" ht="15" customHeight="1" x14ac:dyDescent="0.25">
      <c r="A120" s="10">
        <v>45200</v>
      </c>
      <c r="B120" s="11" t="s">
        <v>1229</v>
      </c>
      <c r="C120" s="11"/>
      <c r="D120" s="12">
        <v>1.0044652485843999</v>
      </c>
      <c r="E120" s="23">
        <v>1.3149299999999999</v>
      </c>
      <c r="F120" s="12">
        <f t="shared" si="3"/>
        <v>1.0077525735844</v>
      </c>
      <c r="G120" s="12">
        <f t="shared" si="4"/>
        <v>7.7226768043852116E-3</v>
      </c>
    </row>
    <row r="121" spans="1:7" ht="15" customHeight="1" x14ac:dyDescent="0.25">
      <c r="A121" s="10">
        <v>45292</v>
      </c>
      <c r="B121" s="11" t="s">
        <v>1229</v>
      </c>
      <c r="C121" s="11"/>
      <c r="D121" s="12">
        <v>1.0054390363068699</v>
      </c>
      <c r="E121" s="23">
        <v>1.3746400000000001</v>
      </c>
      <c r="F121" s="12">
        <f t="shared" si="3"/>
        <v>1.0088756363068698</v>
      </c>
      <c r="G121" s="12">
        <f t="shared" si="4"/>
        <v>8.8364793715250255E-3</v>
      </c>
    </row>
    <row r="122" spans="1:7" ht="15" customHeight="1" x14ac:dyDescent="0.25">
      <c r="A122" s="10">
        <v>45383</v>
      </c>
      <c r="B122" s="11" t="s">
        <v>1229</v>
      </c>
      <c r="C122" s="11"/>
      <c r="D122" s="12">
        <v>1.00512176089223</v>
      </c>
      <c r="E122" s="23">
        <v>1.6997199999999999</v>
      </c>
      <c r="F122" s="12">
        <f t="shared" si="3"/>
        <v>1.0093710608922299</v>
      </c>
      <c r="G122" s="12">
        <f t="shared" si="4"/>
        <v>9.3274248996396743E-3</v>
      </c>
    </row>
    <row r="123" spans="1:7" ht="15" customHeight="1" x14ac:dyDescent="0.25">
      <c r="A123" s="10">
        <v>45474</v>
      </c>
      <c r="B123" s="11" t="s">
        <v>1229</v>
      </c>
      <c r="C123" s="11"/>
      <c r="D123" s="12">
        <v>1.0049117395379299</v>
      </c>
      <c r="E123" s="23">
        <v>1.5490900000000001</v>
      </c>
      <c r="F123" s="12">
        <f t="shared" si="3"/>
        <v>1.0087844645379298</v>
      </c>
      <c r="G123" s="12">
        <f t="shared" si="4"/>
        <v>8.7461056074168864E-3</v>
      </c>
    </row>
    <row r="124" spans="1:7" ht="15" customHeight="1" x14ac:dyDescent="0.25">
      <c r="A124" s="10">
        <v>45566</v>
      </c>
      <c r="B124" s="11" t="s">
        <v>1229</v>
      </c>
      <c r="C124" s="11"/>
      <c r="D124" s="12">
        <v>1.0049275872880701</v>
      </c>
      <c r="E124" s="23">
        <v>2.2033900000000002</v>
      </c>
      <c r="F124" s="12">
        <f t="shared" si="3"/>
        <v>1.0104360622880701</v>
      </c>
      <c r="G124" s="12">
        <f t="shared" si="4"/>
        <v>1.0381982517855786E-2</v>
      </c>
    </row>
    <row r="125" spans="1:7" ht="15" customHeight="1" x14ac:dyDescent="0.25">
      <c r="A125" s="10">
        <v>45658</v>
      </c>
      <c r="B125" s="11" t="s">
        <v>1229</v>
      </c>
      <c r="C125" s="11"/>
      <c r="D125" s="12">
        <v>1.0037164461936301</v>
      </c>
      <c r="E125" s="23">
        <v>1.8959900000000001</v>
      </c>
      <c r="F125" s="12">
        <f t="shared" si="3"/>
        <v>1.00845642119363</v>
      </c>
      <c r="G125" s="12">
        <f t="shared" si="4"/>
        <v>8.4208659699379247E-3</v>
      </c>
    </row>
    <row r="126" spans="1:7" ht="15" customHeight="1" x14ac:dyDescent="0.25">
      <c r="A126" s="10">
        <v>45748</v>
      </c>
      <c r="B126" s="11" t="s">
        <v>1229</v>
      </c>
      <c r="C126" s="11"/>
      <c r="D126" s="12">
        <v>1.0051142002886999</v>
      </c>
      <c r="E126" s="23">
        <v>1.5169699999999999</v>
      </c>
      <c r="F126" s="12">
        <f t="shared" si="3"/>
        <v>1.0089066252887</v>
      </c>
      <c r="G126" s="12">
        <f t="shared" si="4"/>
        <v>8.8671952544252097E-3</v>
      </c>
    </row>
    <row r="127" spans="1:7" ht="15" customHeight="1" x14ac:dyDescent="0.25">
      <c r="A127" s="10">
        <v>45839</v>
      </c>
      <c r="B127" s="11" t="s">
        <v>1229</v>
      </c>
      <c r="C127" s="11"/>
      <c r="D127" s="12">
        <v>1.00351562119141</v>
      </c>
      <c r="E127" s="23">
        <v>1.3866700000000001</v>
      </c>
      <c r="F127" s="12">
        <f t="shared" si="3"/>
        <v>1.0069822961914101</v>
      </c>
      <c r="G127" s="12">
        <f t="shared" si="4"/>
        <v>6.9580328384959743E-3</v>
      </c>
    </row>
    <row r="128" spans="1:7" ht="15" customHeight="1" x14ac:dyDescent="0.25">
      <c r="A128" s="10">
        <v>45931</v>
      </c>
      <c r="B128" s="11" t="s">
        <v>1229</v>
      </c>
      <c r="C128" s="11"/>
      <c r="D128" s="12">
        <v>1.0017136852497099</v>
      </c>
      <c r="E128" s="23">
        <v>1.41004</v>
      </c>
      <c r="F128" s="12">
        <f t="shared" si="3"/>
        <v>1.00523878524971</v>
      </c>
      <c r="G128" s="12">
        <f t="shared" si="4"/>
        <v>5.2251105526725074E-3</v>
      </c>
    </row>
    <row r="129" spans="1:7" ht="15" customHeight="1" x14ac:dyDescent="0.25">
      <c r="A129" s="10">
        <v>46023</v>
      </c>
      <c r="B129" s="11" t="s">
        <v>1229</v>
      </c>
      <c r="C129" s="11"/>
      <c r="D129" s="12">
        <v>1.0027129314379499</v>
      </c>
      <c r="E129" s="23">
        <v>1.4182399999999999</v>
      </c>
      <c r="F129" s="12">
        <f t="shared" si="3"/>
        <v>1.00625853143795</v>
      </c>
      <c r="G129" s="12">
        <f t="shared" si="4"/>
        <v>6.23902816234638E-3</v>
      </c>
    </row>
    <row r="130" spans="1:7" ht="15" customHeight="1" x14ac:dyDescent="0.25">
      <c r="A130" s="10">
        <v>46113</v>
      </c>
      <c r="B130" s="11" t="s">
        <v>1229</v>
      </c>
      <c r="C130" s="11"/>
      <c r="D130" s="12">
        <v>1.0013931068733899</v>
      </c>
      <c r="E130" s="23">
        <v>1.2682800000000001</v>
      </c>
      <c r="F130" s="12">
        <f t="shared" ref="F130" si="5">D130+E130/400</f>
        <v>1.00456380687339</v>
      </c>
      <c r="G130" s="12">
        <f t="shared" ref="G130" si="6">LN(F130)</f>
        <v>4.5534242842374881E-3</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33FCD-D98A-4D0E-8A34-37759802413C}">
  <dimension ref="A1:O130"/>
  <sheetViews>
    <sheetView zoomScaleNormal="100" workbookViewId="0">
      <pane xSplit="1" ySplit="1" topLeftCell="E2" activePane="bottomRight" state="frozen"/>
      <selection pane="topRight" activeCell="B1" sqref="B1"/>
      <selection pane="bottomLeft" activeCell="A2" sqref="A2"/>
      <selection pane="bottomRight" activeCell="B2" sqref="B2"/>
    </sheetView>
  </sheetViews>
  <sheetFormatPr defaultColWidth="8.7109375" defaultRowHeight="15" x14ac:dyDescent="0.25"/>
  <cols>
    <col min="1" max="1" width="12" style="9" customWidth="1"/>
    <col min="2" max="2" width="24" style="9" customWidth="1"/>
    <col min="3" max="3" width="20" style="9" customWidth="1"/>
    <col min="4" max="4" width="13" style="9" customWidth="1"/>
    <col min="5" max="5" width="22" style="9" customWidth="1"/>
    <col min="6" max="6" width="12" style="9" customWidth="1"/>
    <col min="7" max="7" width="16" style="9" customWidth="1"/>
    <col min="8" max="8" width="30" style="9" customWidth="1"/>
    <col min="9" max="9" width="28" style="9" customWidth="1"/>
    <col min="10" max="10" width="26" style="27" customWidth="1"/>
    <col min="11" max="11" width="26" style="9" customWidth="1"/>
    <col min="12" max="14" width="10" style="9" customWidth="1"/>
    <col min="15" max="15" width="9.5703125" style="9" bestFit="1" customWidth="1"/>
    <col min="16" max="16384" width="8.7109375" style="9"/>
  </cols>
  <sheetData>
    <row r="1" spans="1:15" ht="15" customHeight="1" x14ac:dyDescent="0.25">
      <c r="A1" s="8" t="s">
        <v>1203</v>
      </c>
      <c r="B1" s="8" t="s">
        <v>1213</v>
      </c>
      <c r="C1" s="8" t="s">
        <v>1220</v>
      </c>
      <c r="D1" s="8" t="s">
        <v>1221</v>
      </c>
      <c r="E1" s="8" t="s">
        <v>1222</v>
      </c>
      <c r="F1" s="8" t="s">
        <v>1223</v>
      </c>
      <c r="G1" s="8" t="s">
        <v>1224</v>
      </c>
      <c r="H1" s="8" t="s">
        <v>1235</v>
      </c>
      <c r="I1" s="8" t="s">
        <v>1236</v>
      </c>
      <c r="J1" s="25" t="s">
        <v>1237</v>
      </c>
      <c r="K1" s="8"/>
      <c r="L1" s="22" t="s">
        <v>1227</v>
      </c>
      <c r="M1" s="22" t="s">
        <v>1225</v>
      </c>
      <c r="N1" s="22" t="s">
        <v>1226</v>
      </c>
      <c r="O1" s="22" t="s">
        <v>1219</v>
      </c>
    </row>
    <row r="2" spans="1:15" ht="15" customHeight="1" x14ac:dyDescent="0.25">
      <c r="A2" s="10">
        <v>34425</v>
      </c>
      <c r="B2" s="11" t="s">
        <v>1228</v>
      </c>
      <c r="C2" s="23">
        <v>48.499784480693599</v>
      </c>
      <c r="D2" s="12">
        <v>1.00403274560726</v>
      </c>
      <c r="E2" s="23">
        <f t="shared" ref="E2:E28" si="0">$I$2*C2^$J$2</f>
        <v>0.21734084919390395</v>
      </c>
      <c r="F2" s="12">
        <f t="shared" ref="F2:F65" si="1">D2+E2/400</f>
        <v>1.0045760977302447</v>
      </c>
      <c r="G2" s="12">
        <f t="shared" ref="G2:G65" si="2">LN(F2)</f>
        <v>4.5656592279830332E-3</v>
      </c>
      <c r="H2" s="11"/>
      <c r="I2" s="12">
        <v>0.13106759591549</v>
      </c>
      <c r="J2" s="26">
        <f>$M$2+$N$2*I2</f>
        <v>0.1302965172527841</v>
      </c>
      <c r="K2" s="12"/>
      <c r="L2" s="12">
        <v>0.954159628649625</v>
      </c>
      <c r="M2" s="12">
        <v>1.43155130016577E-2</v>
      </c>
      <c r="N2" s="12">
        <v>0.88489457246098302</v>
      </c>
      <c r="O2" s="12">
        <v>0.74792730117835504</v>
      </c>
    </row>
    <row r="3" spans="1:15" ht="15" customHeight="1" x14ac:dyDescent="0.25">
      <c r="A3" s="10">
        <v>34516</v>
      </c>
      <c r="B3" s="11" t="s">
        <v>1228</v>
      </c>
      <c r="C3" s="23">
        <v>40.616216966466702</v>
      </c>
      <c r="D3" s="12">
        <v>1.0056592176575101</v>
      </c>
      <c r="E3" s="23">
        <f t="shared" si="0"/>
        <v>0.2123749412926963</v>
      </c>
      <c r="F3" s="12">
        <f t="shared" si="1"/>
        <v>1.0061901550107419</v>
      </c>
      <c r="G3" s="12">
        <f t="shared" si="2"/>
        <v>6.1710747007801114E-3</v>
      </c>
      <c r="H3" s="12">
        <v>0.13688330000000001</v>
      </c>
      <c r="I3" s="12">
        <v>0.118919721779917</v>
      </c>
      <c r="J3" s="26">
        <f t="shared" ref="J3:J32" si="3">H3</f>
        <v>0.13688330000000001</v>
      </c>
      <c r="K3" s="12"/>
    </row>
    <row r="4" spans="1:15" ht="15" customHeight="1" x14ac:dyDescent="0.25">
      <c r="A4" s="10">
        <v>34608</v>
      </c>
      <c r="B4" s="11" t="s">
        <v>1228</v>
      </c>
      <c r="C4" s="23">
        <v>35.735344259171697</v>
      </c>
      <c r="D4" s="12">
        <v>1.00701403897334</v>
      </c>
      <c r="E4" s="23">
        <f t="shared" si="0"/>
        <v>0.20886159489424053</v>
      </c>
      <c r="F4" s="12">
        <f t="shared" si="1"/>
        <v>1.0075361929605755</v>
      </c>
      <c r="G4" s="12">
        <f t="shared" si="2"/>
        <v>7.5079377275362779E-3</v>
      </c>
      <c r="H4" s="12">
        <v>0.1019278</v>
      </c>
      <c r="I4" s="12">
        <v>0.117438110066411</v>
      </c>
      <c r="J4" s="26">
        <f t="shared" si="3"/>
        <v>0.1019278</v>
      </c>
      <c r="K4" s="12"/>
    </row>
    <row r="5" spans="1:15" ht="15" customHeight="1" x14ac:dyDescent="0.25">
      <c r="A5" s="10">
        <v>34700</v>
      </c>
      <c r="B5" s="11" t="s">
        <v>1228</v>
      </c>
      <c r="C5" s="23">
        <v>53.910362760039199</v>
      </c>
      <c r="D5" s="12">
        <v>1.0082889575805001</v>
      </c>
      <c r="E5" s="23">
        <f t="shared" si="0"/>
        <v>0.22035666823587505</v>
      </c>
      <c r="F5" s="12">
        <f t="shared" si="1"/>
        <v>1.0088398492510897</v>
      </c>
      <c r="G5" s="12">
        <f t="shared" si="2"/>
        <v>8.8010065250905163E-3</v>
      </c>
      <c r="H5" s="12">
        <v>0.1291245</v>
      </c>
      <c r="I5" s="12">
        <v>0.157899813521692</v>
      </c>
      <c r="J5" s="26">
        <f t="shared" si="3"/>
        <v>0.1291245</v>
      </c>
      <c r="K5" s="12"/>
    </row>
    <row r="6" spans="1:15" ht="15" customHeight="1" x14ac:dyDescent="0.25">
      <c r="A6" s="10">
        <v>34790</v>
      </c>
      <c r="B6" s="11" t="s">
        <v>1228</v>
      </c>
      <c r="C6" s="23">
        <v>51.209220833362501</v>
      </c>
      <c r="D6" s="12">
        <v>1.00715288121293</v>
      </c>
      <c r="E6" s="23">
        <f t="shared" si="0"/>
        <v>0.21888572869866246</v>
      </c>
      <c r="F6" s="12">
        <f t="shared" si="1"/>
        <v>1.0077000955346767</v>
      </c>
      <c r="G6" s="12">
        <f t="shared" si="2"/>
        <v>7.6706011088958203E-3</v>
      </c>
      <c r="H6" s="12">
        <v>0.17417879999999999</v>
      </c>
      <c r="I6" s="12">
        <v>0.14904511730964401</v>
      </c>
      <c r="J6" s="26">
        <f t="shared" si="3"/>
        <v>0.17417879999999999</v>
      </c>
      <c r="K6" s="12"/>
    </row>
    <row r="7" spans="1:15" ht="15" customHeight="1" x14ac:dyDescent="0.25">
      <c r="A7" s="10">
        <v>34881</v>
      </c>
      <c r="B7" s="11" t="s">
        <v>1228</v>
      </c>
      <c r="C7" s="23">
        <v>45.893579025536397</v>
      </c>
      <c r="D7" s="12">
        <v>1.0060075222257101</v>
      </c>
      <c r="E7" s="23">
        <f t="shared" si="0"/>
        <v>0.21578230216317826</v>
      </c>
      <c r="F7" s="12">
        <f t="shared" si="1"/>
        <v>1.006546977981118</v>
      </c>
      <c r="G7" s="12">
        <f t="shared" si="2"/>
        <v>6.5256396047265021E-3</v>
      </c>
      <c r="H7" s="12">
        <v>0.140343</v>
      </c>
      <c r="I7" s="12">
        <v>0.13639870521564901</v>
      </c>
      <c r="J7" s="26">
        <f t="shared" si="3"/>
        <v>0.140343</v>
      </c>
      <c r="K7" s="12"/>
    </row>
    <row r="8" spans="1:15" ht="15" customHeight="1" x14ac:dyDescent="0.25">
      <c r="A8" s="10">
        <v>34973</v>
      </c>
      <c r="B8" s="11" t="s">
        <v>1228</v>
      </c>
      <c r="C8" s="23">
        <v>44.081862590728903</v>
      </c>
      <c r="D8" s="12">
        <v>1.0068775256678799</v>
      </c>
      <c r="E8" s="23">
        <f t="shared" si="0"/>
        <v>0.21465285870945647</v>
      </c>
      <c r="F8" s="12">
        <f t="shared" si="1"/>
        <v>1.0074141578146536</v>
      </c>
      <c r="G8" s="12">
        <f t="shared" si="2"/>
        <v>7.3868080470712808E-3</v>
      </c>
      <c r="H8" s="12">
        <v>0.13083810000000001</v>
      </c>
      <c r="I8" s="12">
        <v>0.13180941854985101</v>
      </c>
      <c r="J8" s="26">
        <f t="shared" si="3"/>
        <v>0.13083810000000001</v>
      </c>
      <c r="K8" s="12"/>
    </row>
    <row r="9" spans="1:15" ht="15" customHeight="1" x14ac:dyDescent="0.25">
      <c r="A9" s="10">
        <v>35065</v>
      </c>
      <c r="B9" s="11" t="s">
        <v>1228</v>
      </c>
      <c r="C9" s="23">
        <v>35.121762024667298</v>
      </c>
      <c r="D9" s="12">
        <v>1.00643875481356</v>
      </c>
      <c r="E9" s="23">
        <f t="shared" si="0"/>
        <v>0.20839080006828473</v>
      </c>
      <c r="F9" s="12">
        <f t="shared" si="1"/>
        <v>1.0069597318137307</v>
      </c>
      <c r="G9" s="12">
        <f t="shared" si="2"/>
        <v>6.9356246684825198E-3</v>
      </c>
      <c r="H9" s="12">
        <v>0.11931849999999999</v>
      </c>
      <c r="I9" s="12">
        <v>0.110896296542391</v>
      </c>
      <c r="J9" s="26">
        <f t="shared" si="3"/>
        <v>0.11931849999999999</v>
      </c>
      <c r="K9" s="12"/>
    </row>
    <row r="10" spans="1:15" ht="15" customHeight="1" x14ac:dyDescent="0.25">
      <c r="A10" s="10">
        <v>35156</v>
      </c>
      <c r="B10" s="11" t="s">
        <v>1228</v>
      </c>
      <c r="C10" s="23">
        <v>32.939466465869401</v>
      </c>
      <c r="D10" s="12">
        <v>1.0059949613849899</v>
      </c>
      <c r="E10" s="23">
        <f t="shared" si="0"/>
        <v>0.20665623627198354</v>
      </c>
      <c r="F10" s="12">
        <f t="shared" si="1"/>
        <v>1.0065116019756699</v>
      </c>
      <c r="G10" s="12">
        <f t="shared" si="2"/>
        <v>6.4904930811191079E-3</v>
      </c>
      <c r="H10" s="12">
        <v>0.1139008</v>
      </c>
      <c r="I10" s="12">
        <v>0.107487969655909</v>
      </c>
      <c r="J10" s="26">
        <f t="shared" si="3"/>
        <v>0.1139008</v>
      </c>
      <c r="K10" s="12"/>
    </row>
    <row r="11" spans="1:15" ht="15" customHeight="1" x14ac:dyDescent="0.25">
      <c r="A11" s="10">
        <v>35247</v>
      </c>
      <c r="B11" s="11" t="s">
        <v>1228</v>
      </c>
      <c r="C11" s="23">
        <v>26.794866007895301</v>
      </c>
      <c r="D11" s="12">
        <v>1.00607460072177</v>
      </c>
      <c r="E11" s="23">
        <f t="shared" si="0"/>
        <v>0.20117104973144737</v>
      </c>
      <c r="F11" s="12">
        <f t="shared" si="1"/>
        <v>1.0065775283460987</v>
      </c>
      <c r="G11" s="12">
        <f t="shared" si="2"/>
        <v>6.5559907974987331E-3</v>
      </c>
      <c r="H11" s="12">
        <v>0.1050886</v>
      </c>
      <c r="I11" s="12">
        <v>9.4170012216891405E-2</v>
      </c>
      <c r="J11" s="26">
        <f t="shared" si="3"/>
        <v>0.1050886</v>
      </c>
      <c r="K11" s="12"/>
    </row>
    <row r="12" spans="1:15" ht="15" customHeight="1" x14ac:dyDescent="0.25">
      <c r="A12" s="10">
        <v>35339</v>
      </c>
      <c r="B12" s="11" t="s">
        <v>1228</v>
      </c>
      <c r="C12" s="23">
        <v>23.238726263466301</v>
      </c>
      <c r="D12" s="12">
        <v>1.00513177868388</v>
      </c>
      <c r="E12" s="23">
        <f t="shared" si="0"/>
        <v>0.19747314399935931</v>
      </c>
      <c r="F12" s="12">
        <f t="shared" si="1"/>
        <v>1.0056254615438784</v>
      </c>
      <c r="G12" s="12">
        <f t="shared" si="2"/>
        <v>5.6096977266212565E-3</v>
      </c>
      <c r="H12" s="12">
        <v>8.4835400000000005E-2</v>
      </c>
      <c r="I12" s="12">
        <v>8.6260565471790104E-2</v>
      </c>
      <c r="J12" s="26">
        <f t="shared" si="3"/>
        <v>8.4835400000000005E-2</v>
      </c>
      <c r="K12" s="12"/>
    </row>
    <row r="13" spans="1:15" ht="15" customHeight="1" x14ac:dyDescent="0.25">
      <c r="A13" s="10">
        <v>35431</v>
      </c>
      <c r="B13" s="11" t="s">
        <v>1228</v>
      </c>
      <c r="C13" s="23">
        <v>18.763369008843299</v>
      </c>
      <c r="D13" s="12">
        <v>1.0048166539527399</v>
      </c>
      <c r="E13" s="23">
        <f t="shared" si="0"/>
        <v>0.1920451300820156</v>
      </c>
      <c r="F13" s="12">
        <f t="shared" si="1"/>
        <v>1.0052967667779449</v>
      </c>
      <c r="G13" s="12">
        <f t="shared" si="2"/>
        <v>5.2827882477448317E-3</v>
      </c>
      <c r="H13" s="12">
        <v>8.3836599999999997E-2</v>
      </c>
      <c r="I13" s="12">
        <v>7.7970869996828299E-2</v>
      </c>
      <c r="J13" s="26">
        <f t="shared" si="3"/>
        <v>8.3836599999999997E-2</v>
      </c>
      <c r="K13" s="12"/>
    </row>
    <row r="14" spans="1:15" ht="15" customHeight="1" x14ac:dyDescent="0.25">
      <c r="A14" s="10">
        <v>35521</v>
      </c>
      <c r="B14" s="11" t="s">
        <v>1228</v>
      </c>
      <c r="C14" s="23">
        <v>18.1394393712668</v>
      </c>
      <c r="D14" s="12">
        <v>1.0057913571514501</v>
      </c>
      <c r="E14" s="23">
        <f t="shared" si="0"/>
        <v>0.19120077094282337</v>
      </c>
      <c r="F14" s="12">
        <f t="shared" si="1"/>
        <v>1.0062693590788072</v>
      </c>
      <c r="G14" s="12">
        <f t="shared" si="2"/>
        <v>6.2497884016537433E-3</v>
      </c>
      <c r="H14" s="12">
        <v>8.2451300000000005E-2</v>
      </c>
      <c r="I14" s="12">
        <v>7.3762135669068002E-2</v>
      </c>
      <c r="J14" s="26">
        <f t="shared" si="3"/>
        <v>8.2451300000000005E-2</v>
      </c>
      <c r="K14" s="12"/>
    </row>
    <row r="15" spans="1:15" ht="15" customHeight="1" x14ac:dyDescent="0.25">
      <c r="A15" s="10">
        <v>35612</v>
      </c>
      <c r="B15" s="11" t="s">
        <v>1228</v>
      </c>
      <c r="C15" s="23">
        <v>15.812482743570699</v>
      </c>
      <c r="D15" s="12">
        <v>1.0071200227719601</v>
      </c>
      <c r="E15" s="23">
        <f t="shared" si="0"/>
        <v>0.18781093125608292</v>
      </c>
      <c r="F15" s="12">
        <f t="shared" si="1"/>
        <v>1.0075895501001004</v>
      </c>
      <c r="G15" s="12">
        <f t="shared" si="2"/>
        <v>7.5608943628441587E-3</v>
      </c>
      <c r="H15" s="12">
        <v>7.3363399999999995E-2</v>
      </c>
      <c r="I15" s="12">
        <v>6.9618650665441206E-2</v>
      </c>
      <c r="J15" s="26">
        <f t="shared" si="3"/>
        <v>7.3363399999999995E-2</v>
      </c>
      <c r="K15" s="12"/>
    </row>
    <row r="16" spans="1:15" ht="15" customHeight="1" x14ac:dyDescent="0.25">
      <c r="A16" s="10">
        <v>35704</v>
      </c>
      <c r="B16" s="11" t="s">
        <v>1228</v>
      </c>
      <c r="C16" s="23">
        <v>22.7152577446642</v>
      </c>
      <c r="D16" s="12">
        <v>1.0077019231136899</v>
      </c>
      <c r="E16" s="23">
        <f t="shared" si="0"/>
        <v>0.19688779811494619</v>
      </c>
      <c r="F16" s="12">
        <f t="shared" si="1"/>
        <v>1.0081941426089773</v>
      </c>
      <c r="G16" s="12">
        <f t="shared" si="2"/>
        <v>8.1607528984528003E-3</v>
      </c>
      <c r="H16" s="12">
        <v>7.0102300000000006E-2</v>
      </c>
      <c r="I16" s="12">
        <v>8.6800636820777599E-2</v>
      </c>
      <c r="J16" s="26">
        <f t="shared" si="3"/>
        <v>7.0102300000000006E-2</v>
      </c>
      <c r="K16" s="12"/>
    </row>
    <row r="17" spans="1:11" ht="15" customHeight="1" x14ac:dyDescent="0.25">
      <c r="A17" s="10">
        <v>35796</v>
      </c>
      <c r="B17" s="11" t="s">
        <v>1228</v>
      </c>
      <c r="C17" s="23">
        <v>22.109553375025701</v>
      </c>
      <c r="D17" s="12">
        <v>1.00864674869906</v>
      </c>
      <c r="E17" s="23">
        <f t="shared" si="0"/>
        <v>0.19619567108129546</v>
      </c>
      <c r="F17" s="12">
        <f t="shared" si="1"/>
        <v>1.0091372378767633</v>
      </c>
      <c r="G17" s="12">
        <f t="shared" si="2"/>
        <v>9.0957458754265287E-3</v>
      </c>
      <c r="H17" s="12">
        <v>8.6091699999999993E-2</v>
      </c>
      <c r="I17" s="12">
        <v>8.5920120290937999E-2</v>
      </c>
      <c r="J17" s="26">
        <f t="shared" si="3"/>
        <v>8.6091699999999993E-2</v>
      </c>
      <c r="K17" s="12"/>
    </row>
    <row r="18" spans="1:11" ht="15" customHeight="1" x14ac:dyDescent="0.25">
      <c r="A18" s="10">
        <v>35886</v>
      </c>
      <c r="B18" s="11" t="s">
        <v>1228</v>
      </c>
      <c r="C18" s="23">
        <v>22.9410705422207</v>
      </c>
      <c r="D18" s="12">
        <v>1.0093421189390901</v>
      </c>
      <c r="E18" s="23">
        <f t="shared" si="0"/>
        <v>0.1971417273024739</v>
      </c>
      <c r="F18" s="12">
        <f t="shared" si="1"/>
        <v>1.0098349732573462</v>
      </c>
      <c r="G18" s="12">
        <f t="shared" si="2"/>
        <v>9.7869246885992009E-3</v>
      </c>
      <c r="H18" s="12">
        <v>8.3291699999999996E-2</v>
      </c>
      <c r="I18" s="12">
        <v>9.1839442367141005E-2</v>
      </c>
      <c r="J18" s="26">
        <f t="shared" si="3"/>
        <v>8.3291699999999996E-2</v>
      </c>
      <c r="K18" s="12"/>
    </row>
    <row r="19" spans="1:11" ht="15" customHeight="1" x14ac:dyDescent="0.25">
      <c r="A19" s="10">
        <v>35977</v>
      </c>
      <c r="B19" s="11" t="s">
        <v>1228</v>
      </c>
      <c r="C19" s="23">
        <v>42.531639912024303</v>
      </c>
      <c r="D19" s="12">
        <v>1.0077839326720699</v>
      </c>
      <c r="E19" s="23">
        <f t="shared" si="0"/>
        <v>0.21365391313571444</v>
      </c>
      <c r="F19" s="12">
        <f t="shared" si="1"/>
        <v>1.0083180674549093</v>
      </c>
      <c r="G19" s="12">
        <f t="shared" si="2"/>
        <v>8.2836629859488892E-3</v>
      </c>
      <c r="H19" s="12">
        <v>0.1073378</v>
      </c>
      <c r="I19" s="12">
        <v>0.13279454032274199</v>
      </c>
      <c r="J19" s="26">
        <f t="shared" si="3"/>
        <v>0.1073378</v>
      </c>
      <c r="K19" s="12"/>
    </row>
    <row r="20" spans="1:11" ht="15" customHeight="1" x14ac:dyDescent="0.25">
      <c r="A20" s="10">
        <v>36069</v>
      </c>
      <c r="B20" s="11" t="s">
        <v>1228</v>
      </c>
      <c r="C20" s="23">
        <v>50.805331052994397</v>
      </c>
      <c r="D20" s="12">
        <v>1.00767371454155</v>
      </c>
      <c r="E20" s="23">
        <f t="shared" si="0"/>
        <v>0.2186600143130932</v>
      </c>
      <c r="F20" s="12">
        <f t="shared" si="1"/>
        <v>1.0082203645773327</v>
      </c>
      <c r="G20" s="12">
        <f t="shared" si="2"/>
        <v>8.1867614083731156E-3</v>
      </c>
      <c r="H20" s="12">
        <v>0.1681124</v>
      </c>
      <c r="I20" s="12">
        <v>0.148654213476205</v>
      </c>
      <c r="J20" s="26">
        <f t="shared" si="3"/>
        <v>0.1681124</v>
      </c>
      <c r="K20" s="12"/>
    </row>
    <row r="21" spans="1:11" ht="15" customHeight="1" x14ac:dyDescent="0.25">
      <c r="A21" s="10">
        <v>36161</v>
      </c>
      <c r="B21" s="11" t="s">
        <v>1228</v>
      </c>
      <c r="C21" s="23">
        <v>58.427047012745902</v>
      </c>
      <c r="D21" s="12">
        <v>1.0074007596067101</v>
      </c>
      <c r="E21" s="23">
        <f t="shared" si="0"/>
        <v>0.22267885362853204</v>
      </c>
      <c r="F21" s="12">
        <f t="shared" si="1"/>
        <v>1.0079574567407814</v>
      </c>
      <c r="G21" s="12">
        <f t="shared" si="2"/>
        <v>7.9259631441907161E-3</v>
      </c>
      <c r="H21" s="12">
        <v>0.14894560000000001</v>
      </c>
      <c r="I21" s="12">
        <v>0.16555688303383401</v>
      </c>
      <c r="J21" s="26">
        <f t="shared" si="3"/>
        <v>0.14894560000000001</v>
      </c>
      <c r="K21" s="12"/>
    </row>
    <row r="22" spans="1:11" ht="15" customHeight="1" x14ac:dyDescent="0.25">
      <c r="A22" s="10">
        <v>36251</v>
      </c>
      <c r="B22" s="11" t="s">
        <v>1228</v>
      </c>
      <c r="C22" s="23">
        <v>41.5280344678944</v>
      </c>
      <c r="D22" s="12">
        <v>1.00747398150695</v>
      </c>
      <c r="E22" s="23">
        <f t="shared" si="0"/>
        <v>0.21299017902860531</v>
      </c>
      <c r="F22" s="12">
        <f t="shared" si="1"/>
        <v>1.0080064569545215</v>
      </c>
      <c r="G22" s="12">
        <f t="shared" si="2"/>
        <v>7.9745753375111156E-3</v>
      </c>
      <c r="H22" s="12">
        <v>0.13006880000000001</v>
      </c>
      <c r="I22" s="12">
        <v>0.12805213274857799</v>
      </c>
      <c r="J22" s="26">
        <f t="shared" si="3"/>
        <v>0.13006880000000001</v>
      </c>
      <c r="K22" s="12"/>
    </row>
    <row r="23" spans="1:11" ht="15" customHeight="1" x14ac:dyDescent="0.25">
      <c r="A23" s="10">
        <v>36342</v>
      </c>
      <c r="B23" s="11" t="s">
        <v>1228</v>
      </c>
      <c r="C23" s="23">
        <v>46.424434284247297</v>
      </c>
      <c r="D23" s="12">
        <v>1.00713543467012</v>
      </c>
      <c r="E23" s="23">
        <f t="shared" si="0"/>
        <v>0.21610589471911565</v>
      </c>
      <c r="F23" s="12">
        <f t="shared" si="1"/>
        <v>1.0076756994069178</v>
      </c>
      <c r="G23" s="12">
        <f t="shared" si="2"/>
        <v>7.6463911051622589E-3</v>
      </c>
      <c r="H23" s="12">
        <v>0.1304864</v>
      </c>
      <c r="I23" s="12">
        <v>0.13861430289072399</v>
      </c>
      <c r="J23" s="26">
        <f t="shared" si="3"/>
        <v>0.1304864</v>
      </c>
      <c r="K23" s="12"/>
    </row>
    <row r="24" spans="1:11" ht="15" customHeight="1" x14ac:dyDescent="0.25">
      <c r="A24" s="10">
        <v>36434</v>
      </c>
      <c r="B24" s="11" t="s">
        <v>1228</v>
      </c>
      <c r="C24" s="23">
        <v>34.8101957576175</v>
      </c>
      <c r="D24" s="12">
        <v>1.00683978334063</v>
      </c>
      <c r="E24" s="23">
        <f t="shared" si="0"/>
        <v>0.20814899417871854</v>
      </c>
      <c r="F24" s="12">
        <f t="shared" si="1"/>
        <v>1.0073601558260767</v>
      </c>
      <c r="G24" s="12">
        <f t="shared" si="2"/>
        <v>7.3332020543561902E-3</v>
      </c>
      <c r="H24" s="12">
        <v>0.1345713</v>
      </c>
      <c r="I24" s="12">
        <v>0.117815437324345</v>
      </c>
      <c r="J24" s="26">
        <f t="shared" si="3"/>
        <v>0.1345713</v>
      </c>
      <c r="K24" s="12"/>
    </row>
    <row r="25" spans="1:11" ht="15" customHeight="1" x14ac:dyDescent="0.25">
      <c r="A25" s="10">
        <v>36526</v>
      </c>
      <c r="B25" s="11" t="s">
        <v>1228</v>
      </c>
      <c r="C25" s="23">
        <v>29.423650715866099</v>
      </c>
      <c r="D25" s="12">
        <v>1.0079678053249199</v>
      </c>
      <c r="E25" s="23">
        <f t="shared" si="0"/>
        <v>0.20363919883045414</v>
      </c>
      <c r="F25" s="12">
        <f t="shared" si="1"/>
        <v>1.008476903321996</v>
      </c>
      <c r="G25" s="12">
        <f t="shared" si="2"/>
        <v>8.4411761389631221E-3</v>
      </c>
      <c r="H25" s="12">
        <v>9.9335900000000005E-2</v>
      </c>
      <c r="I25" s="12">
        <v>0.10885390707734301</v>
      </c>
      <c r="J25" s="26">
        <f t="shared" si="3"/>
        <v>9.9335900000000005E-2</v>
      </c>
      <c r="K25" s="12"/>
    </row>
    <row r="26" spans="1:11" ht="15" customHeight="1" x14ac:dyDescent="0.25">
      <c r="A26" s="10">
        <v>36617</v>
      </c>
      <c r="B26" s="11" t="s">
        <v>1228</v>
      </c>
      <c r="C26" s="23">
        <v>32.837439843300501</v>
      </c>
      <c r="D26" s="12">
        <v>1.00532122777509</v>
      </c>
      <c r="E26" s="23">
        <f t="shared" si="0"/>
        <v>0.20657272137217961</v>
      </c>
      <c r="F26" s="12">
        <f t="shared" si="1"/>
        <v>1.0058376595785206</v>
      </c>
      <c r="G26" s="12">
        <f t="shared" si="2"/>
        <v>5.8206864673056007E-3</v>
      </c>
      <c r="H26" s="12">
        <v>0.1111949</v>
      </c>
      <c r="I26" s="12">
        <v>0.113056424662013</v>
      </c>
      <c r="J26" s="26">
        <f t="shared" si="3"/>
        <v>0.1111949</v>
      </c>
      <c r="K26" s="12"/>
    </row>
    <row r="27" spans="1:11" ht="15" customHeight="1" x14ac:dyDescent="0.25">
      <c r="A27" s="10">
        <v>36708</v>
      </c>
      <c r="B27" s="11" t="s">
        <v>1228</v>
      </c>
      <c r="C27" s="23">
        <v>29.871719412354398</v>
      </c>
      <c r="D27" s="12">
        <v>1.0061796721884699</v>
      </c>
      <c r="E27" s="23">
        <f t="shared" si="0"/>
        <v>0.20404060491409493</v>
      </c>
      <c r="F27" s="12">
        <f t="shared" si="1"/>
        <v>1.0066897737007552</v>
      </c>
      <c r="G27" s="12">
        <f t="shared" si="2"/>
        <v>6.6674964626020844E-3</v>
      </c>
      <c r="H27" s="12">
        <v>0.10798679999999999</v>
      </c>
      <c r="I27" s="12">
        <v>0.10698085758039801</v>
      </c>
      <c r="J27" s="26">
        <f t="shared" si="3"/>
        <v>0.10798679999999999</v>
      </c>
      <c r="K27" s="12"/>
    </row>
    <row r="28" spans="1:11" ht="15" customHeight="1" x14ac:dyDescent="0.25">
      <c r="A28" s="10">
        <v>36800</v>
      </c>
      <c r="B28" s="11" t="s">
        <v>1228</v>
      </c>
      <c r="C28" s="23">
        <v>33.161527472216598</v>
      </c>
      <c r="D28" s="12">
        <v>1.00626148874091</v>
      </c>
      <c r="E28" s="23">
        <f t="shared" si="0"/>
        <v>0.20683723160657733</v>
      </c>
      <c r="F28" s="12">
        <f t="shared" si="1"/>
        <v>1.0067785818199264</v>
      </c>
      <c r="G28" s="12">
        <f t="shared" si="2"/>
        <v>6.7557105326025522E-3</v>
      </c>
      <c r="H28" s="12">
        <v>0.1121441</v>
      </c>
      <c r="I28" s="12">
        <v>0.109556680892261</v>
      </c>
      <c r="J28" s="26">
        <f t="shared" si="3"/>
        <v>0.1121441</v>
      </c>
      <c r="K28" s="12"/>
    </row>
    <row r="29" spans="1:11" ht="15" customHeight="1" x14ac:dyDescent="0.25">
      <c r="A29" s="10">
        <v>36892</v>
      </c>
      <c r="B29" s="11" t="s">
        <v>1229</v>
      </c>
      <c r="C29" s="11"/>
      <c r="D29" s="12">
        <v>1.00284060434695</v>
      </c>
      <c r="E29" s="23">
        <v>6.28125</v>
      </c>
      <c r="F29" s="12">
        <f t="shared" si="1"/>
        <v>1.0185437293469499</v>
      </c>
      <c r="G29" s="12">
        <f t="shared" si="2"/>
        <v>1.8373890811592356E-2</v>
      </c>
      <c r="H29" s="12">
        <v>0.1126679</v>
      </c>
      <c r="I29" s="12">
        <v>9.1526294468243702E-2</v>
      </c>
      <c r="J29" s="26">
        <f t="shared" si="3"/>
        <v>0.1126679</v>
      </c>
      <c r="K29" s="12"/>
    </row>
    <row r="30" spans="1:11" ht="15" customHeight="1" x14ac:dyDescent="0.25">
      <c r="A30" s="10">
        <v>36982</v>
      </c>
      <c r="B30" s="11" t="s">
        <v>1229</v>
      </c>
      <c r="C30" s="11"/>
      <c r="D30" s="12">
        <v>1.0015388862965</v>
      </c>
      <c r="E30" s="23">
        <v>7.7558299999999996</v>
      </c>
      <c r="F30" s="12">
        <f t="shared" si="1"/>
        <v>1.0209284612964999</v>
      </c>
      <c r="G30" s="12">
        <f t="shared" si="2"/>
        <v>2.0712469437299621E-2</v>
      </c>
      <c r="H30" s="12">
        <v>0.10011009999999999</v>
      </c>
      <c r="I30" s="12">
        <v>9.3222137497536203E-2</v>
      </c>
      <c r="J30" s="26">
        <f t="shared" si="3"/>
        <v>0.10011009999999999</v>
      </c>
      <c r="K30" s="12"/>
    </row>
    <row r="31" spans="1:11" ht="15" customHeight="1" x14ac:dyDescent="0.25">
      <c r="A31" s="10">
        <v>37073</v>
      </c>
      <c r="B31" s="11" t="s">
        <v>1229</v>
      </c>
      <c r="C31" s="11"/>
      <c r="D31" s="12">
        <v>0.99884232069366297</v>
      </c>
      <c r="E31" s="23">
        <v>11.768800000000001</v>
      </c>
      <c r="F31" s="12">
        <f t="shared" si="1"/>
        <v>1.028264320693663</v>
      </c>
      <c r="G31" s="12">
        <f t="shared" si="2"/>
        <v>2.7872255280295286E-2</v>
      </c>
      <c r="H31" s="12">
        <v>0.1009832</v>
      </c>
      <c r="I31" s="12">
        <v>9.8469707444560101E-2</v>
      </c>
      <c r="J31" s="26">
        <f t="shared" si="3"/>
        <v>0.1009832</v>
      </c>
      <c r="K31" s="12"/>
    </row>
    <row r="32" spans="1:11" ht="15" customHeight="1" x14ac:dyDescent="0.25">
      <c r="A32" s="10">
        <v>37165</v>
      </c>
      <c r="B32" s="11" t="s">
        <v>1229</v>
      </c>
      <c r="C32" s="11"/>
      <c r="D32" s="12">
        <v>0.997891499503339</v>
      </c>
      <c r="E32" s="23">
        <v>8.2458299999999998</v>
      </c>
      <c r="F32" s="12">
        <f t="shared" si="1"/>
        <v>1.018506074503339</v>
      </c>
      <c r="G32" s="12">
        <f t="shared" si="2"/>
        <v>1.8336920833200987E-2</v>
      </c>
      <c r="H32" s="12">
        <v>0.11117829999999999</v>
      </c>
      <c r="I32" s="12">
        <v>9.7034561528844404E-2</v>
      </c>
      <c r="J32" s="26">
        <f t="shared" si="3"/>
        <v>0.11117829999999999</v>
      </c>
      <c r="K32" s="12"/>
    </row>
    <row r="33" spans="1:11" ht="15" customHeight="1" x14ac:dyDescent="0.25">
      <c r="A33" s="10">
        <v>37257</v>
      </c>
      <c r="B33" s="11" t="s">
        <v>1229</v>
      </c>
      <c r="C33" s="11"/>
      <c r="D33" s="12">
        <v>1.0005733518026101</v>
      </c>
      <c r="E33" s="23">
        <v>7.18</v>
      </c>
      <c r="F33" s="12">
        <f t="shared" si="1"/>
        <v>1.01852335180261</v>
      </c>
      <c r="G33" s="12">
        <f t="shared" si="2"/>
        <v>1.8353884063136039E-2</v>
      </c>
      <c r="H33" s="11"/>
      <c r="I33" s="12">
        <v>7.87998690667326E-2</v>
      </c>
      <c r="J33" s="26">
        <f t="shared" ref="J33:J76" si="4">$M$2+$N$2*I33</f>
        <v>8.4045089449445484E-2</v>
      </c>
      <c r="K33" s="12"/>
    </row>
    <row r="34" spans="1:11" ht="15" customHeight="1" x14ac:dyDescent="0.25">
      <c r="A34" s="10">
        <v>37347</v>
      </c>
      <c r="B34" s="11" t="s">
        <v>1229</v>
      </c>
      <c r="C34" s="11"/>
      <c r="D34" s="12">
        <v>1.00092011205527</v>
      </c>
      <c r="E34" s="23">
        <v>21.9375</v>
      </c>
      <c r="F34" s="12">
        <f t="shared" si="1"/>
        <v>1.0557638620552701</v>
      </c>
      <c r="G34" s="12">
        <f t="shared" si="2"/>
        <v>5.4264544800436944E-2</v>
      </c>
      <c r="H34" s="11"/>
      <c r="I34" s="12">
        <v>0.101340652021934</v>
      </c>
      <c r="J34" s="26">
        <f t="shared" si="4"/>
        <v>0.10399130594552425</v>
      </c>
      <c r="K34" s="12"/>
    </row>
    <row r="35" spans="1:11" ht="15" customHeight="1" x14ac:dyDescent="0.25">
      <c r="A35" s="10">
        <v>37438</v>
      </c>
      <c r="B35" s="11" t="s">
        <v>1229</v>
      </c>
      <c r="C35" s="11"/>
      <c r="D35" s="12">
        <v>1.00147512253087</v>
      </c>
      <c r="E35" s="23">
        <v>37.333599999999997</v>
      </c>
      <c r="F35" s="12">
        <f t="shared" si="1"/>
        <v>1.09480912253087</v>
      </c>
      <c r="G35" s="12">
        <f t="shared" si="2"/>
        <v>9.0580030750027296E-2</v>
      </c>
      <c r="H35" s="11"/>
      <c r="I35" s="12">
        <v>0.191369593002753</v>
      </c>
      <c r="J35" s="26">
        <f t="shared" si="4"/>
        <v>0.18365742718386113</v>
      </c>
      <c r="K35" s="12"/>
    </row>
    <row r="36" spans="1:11" ht="15" customHeight="1" x14ac:dyDescent="0.25">
      <c r="A36" s="10">
        <v>37530</v>
      </c>
      <c r="B36" s="11" t="s">
        <v>1229</v>
      </c>
      <c r="C36" s="11"/>
      <c r="D36" s="12">
        <v>0.99924926677127901</v>
      </c>
      <c r="E36" s="23">
        <v>21.47</v>
      </c>
      <c r="F36" s="12">
        <f t="shared" si="1"/>
        <v>1.052924266771279</v>
      </c>
      <c r="G36" s="12">
        <f t="shared" si="2"/>
        <v>5.1571309170574182E-2</v>
      </c>
      <c r="H36" s="11"/>
      <c r="I36" s="12">
        <v>0.173424919241603</v>
      </c>
      <c r="J36" s="26">
        <f t="shared" si="4"/>
        <v>0.1677782827680365</v>
      </c>
      <c r="K36" s="12"/>
    </row>
    <row r="37" spans="1:11" ht="15" customHeight="1" x14ac:dyDescent="0.25">
      <c r="A37" s="10">
        <v>37622</v>
      </c>
      <c r="B37" s="11" t="s">
        <v>1229</v>
      </c>
      <c r="C37" s="11"/>
      <c r="D37" s="12">
        <v>0.99675105388602803</v>
      </c>
      <c r="E37" s="23">
        <v>13.6958</v>
      </c>
      <c r="F37" s="12">
        <f t="shared" si="1"/>
        <v>1.030990553886028</v>
      </c>
      <c r="G37" s="12">
        <f t="shared" si="2"/>
        <v>3.0520042903644087E-2</v>
      </c>
      <c r="H37" s="11"/>
      <c r="I37" s="12">
        <v>0.11853276648090701</v>
      </c>
      <c r="J37" s="26">
        <f t="shared" si="4"/>
        <v>0.11920451471939744</v>
      </c>
      <c r="K37" s="12"/>
    </row>
    <row r="38" spans="1:11" ht="15" customHeight="1" x14ac:dyDescent="0.25">
      <c r="A38" s="10">
        <v>37712</v>
      </c>
      <c r="B38" s="11" t="s">
        <v>1229</v>
      </c>
      <c r="C38" s="11"/>
      <c r="D38" s="12">
        <v>0.99490657955525497</v>
      </c>
      <c r="E38" s="23">
        <v>8.8991699999999998</v>
      </c>
      <c r="F38" s="12">
        <f t="shared" si="1"/>
        <v>1.017154504555255</v>
      </c>
      <c r="G38" s="12">
        <f t="shared" si="2"/>
        <v>1.7009027410702204E-2</v>
      </c>
      <c r="H38" s="11"/>
      <c r="I38" s="12">
        <v>7.0798258750327095E-2</v>
      </c>
      <c r="J38" s="26">
        <f t="shared" si="4"/>
        <v>7.6964507909510455E-2</v>
      </c>
      <c r="K38" s="12"/>
    </row>
    <row r="39" spans="1:11" ht="15" customHeight="1" x14ac:dyDescent="0.25">
      <c r="A39" s="10">
        <v>37803</v>
      </c>
      <c r="B39" s="11" t="s">
        <v>1229</v>
      </c>
      <c r="C39" s="11"/>
      <c r="D39" s="12">
        <v>0.99755848637169198</v>
      </c>
      <c r="E39" s="23">
        <v>7.63</v>
      </c>
      <c r="F39" s="12">
        <f t="shared" si="1"/>
        <v>1.0166334863716919</v>
      </c>
      <c r="G39" s="12">
        <f t="shared" si="2"/>
        <v>1.6496665062920263E-2</v>
      </c>
      <c r="H39" s="11"/>
      <c r="I39" s="12">
        <v>6.4769776682171806E-2</v>
      </c>
      <c r="J39" s="26">
        <f t="shared" si="4"/>
        <v>7.1629936847221465E-2</v>
      </c>
      <c r="K39" s="12"/>
    </row>
    <row r="40" spans="1:11" ht="15" customHeight="1" x14ac:dyDescent="0.25">
      <c r="A40" s="10">
        <v>37895</v>
      </c>
      <c r="B40" s="11" t="s">
        <v>1229</v>
      </c>
      <c r="C40" s="11"/>
      <c r="D40" s="12">
        <v>0.99638265920036995</v>
      </c>
      <c r="E40" s="23">
        <v>4.0384399999999996</v>
      </c>
      <c r="F40" s="12">
        <f t="shared" si="1"/>
        <v>1.0064787592003699</v>
      </c>
      <c r="G40" s="12">
        <f t="shared" si="2"/>
        <v>6.4578622489637558E-3</v>
      </c>
      <c r="H40" s="11"/>
      <c r="I40" s="12">
        <v>4.4893333566251102E-2</v>
      </c>
      <c r="J40" s="26">
        <f t="shared" si="4"/>
        <v>5.4041380214113768E-2</v>
      </c>
      <c r="K40" s="12"/>
    </row>
    <row r="41" spans="1:11" ht="15" customHeight="1" x14ac:dyDescent="0.25">
      <c r="A41" s="10">
        <v>37987</v>
      </c>
      <c r="B41" s="11" t="s">
        <v>1229</v>
      </c>
      <c r="C41" s="11"/>
      <c r="D41" s="12">
        <v>0.99731736633561097</v>
      </c>
      <c r="E41" s="23">
        <v>5.76607</v>
      </c>
      <c r="F41" s="12">
        <f t="shared" si="1"/>
        <v>1.0117325413356109</v>
      </c>
      <c r="G41" s="12">
        <f t="shared" si="2"/>
        <v>1.1664248717476722E-2</v>
      </c>
      <c r="H41" s="11"/>
      <c r="I41" s="12">
        <v>4.0938493055882798E-2</v>
      </c>
      <c r="J41" s="26">
        <f t="shared" si="4"/>
        <v>5.0541763311540033E-2</v>
      </c>
      <c r="K41" s="12"/>
    </row>
    <row r="42" spans="1:11" ht="15" customHeight="1" x14ac:dyDescent="0.25">
      <c r="A42" s="10">
        <v>38078</v>
      </c>
      <c r="B42" s="11" t="s">
        <v>1229</v>
      </c>
      <c r="C42" s="11"/>
      <c r="D42" s="12">
        <v>0.998890033622719</v>
      </c>
      <c r="E42" s="23">
        <v>7.10853</v>
      </c>
      <c r="F42" s="12">
        <f t="shared" si="1"/>
        <v>1.0166613586227189</v>
      </c>
      <c r="G42" s="12">
        <f t="shared" si="2"/>
        <v>1.6524080910747078E-2</v>
      </c>
      <c r="H42" s="11"/>
      <c r="I42" s="12">
        <v>5.6669464132182303E-2</v>
      </c>
      <c r="J42" s="26">
        <f t="shared" si="4"/>
        <v>6.4462014236498166E-2</v>
      </c>
      <c r="K42" s="12"/>
    </row>
    <row r="43" spans="1:11" ht="15" customHeight="1" x14ac:dyDescent="0.25">
      <c r="A43" s="10">
        <v>38169</v>
      </c>
      <c r="B43" s="11" t="s">
        <v>1229</v>
      </c>
      <c r="C43" s="11"/>
      <c r="D43" s="12">
        <v>0.99639576809200603</v>
      </c>
      <c r="E43" s="23">
        <v>4.3610899999999999</v>
      </c>
      <c r="F43" s="12">
        <f t="shared" si="1"/>
        <v>1.0072984930920059</v>
      </c>
      <c r="G43" s="12">
        <f t="shared" si="2"/>
        <v>7.2719879780925104E-3</v>
      </c>
      <c r="H43" s="11"/>
      <c r="I43" s="12">
        <v>4.4463352758598397E-2</v>
      </c>
      <c r="J43" s="26">
        <f t="shared" si="4"/>
        <v>5.3660892531159493E-2</v>
      </c>
      <c r="K43" s="12"/>
    </row>
    <row r="44" spans="1:11" ht="15" customHeight="1" x14ac:dyDescent="0.25">
      <c r="A44" s="10">
        <v>38261</v>
      </c>
      <c r="B44" s="11" t="s">
        <v>1229</v>
      </c>
      <c r="C44" s="11"/>
      <c r="D44" s="12">
        <v>0.99926182510417405</v>
      </c>
      <c r="E44" s="23">
        <v>3.0609600000000001</v>
      </c>
      <c r="F44" s="12">
        <f t="shared" si="1"/>
        <v>1.0069142251041741</v>
      </c>
      <c r="G44" s="12">
        <f t="shared" si="2"/>
        <v>6.8904314632096345E-3</v>
      </c>
      <c r="H44" s="11"/>
      <c r="I44" s="12">
        <v>3.69162273230111E-2</v>
      </c>
      <c r="J44" s="26">
        <f t="shared" si="4"/>
        <v>4.6982482195526074E-2</v>
      </c>
      <c r="K44" s="12"/>
    </row>
    <row r="45" spans="1:11" ht="15" customHeight="1" x14ac:dyDescent="0.25">
      <c r="A45" s="10">
        <v>38353</v>
      </c>
      <c r="B45" s="11" t="s">
        <v>1229</v>
      </c>
      <c r="C45" s="11"/>
      <c r="D45" s="12">
        <v>0.99875507120827101</v>
      </c>
      <c r="E45" s="23">
        <v>4.2946900000000001</v>
      </c>
      <c r="F45" s="12">
        <f t="shared" si="1"/>
        <v>1.009491796208271</v>
      </c>
      <c r="G45" s="12">
        <f t="shared" si="2"/>
        <v>9.4470321486019946E-3</v>
      </c>
      <c r="H45" s="11"/>
      <c r="I45" s="12">
        <v>3.8393200206800003E-2</v>
      </c>
      <c r="J45" s="26">
        <f t="shared" si="4"/>
        <v>4.8289447484062914E-2</v>
      </c>
      <c r="K45" s="12"/>
    </row>
    <row r="46" spans="1:11" ht="15" customHeight="1" x14ac:dyDescent="0.25">
      <c r="A46" s="10">
        <v>38443</v>
      </c>
      <c r="B46" s="11" t="s">
        <v>1229</v>
      </c>
      <c r="C46" s="11"/>
      <c r="D46" s="12">
        <v>0.99967791130246497</v>
      </c>
      <c r="E46" s="23">
        <v>3.22959</v>
      </c>
      <c r="F46" s="12">
        <f t="shared" si="1"/>
        <v>1.007751886302465</v>
      </c>
      <c r="G46" s="12">
        <f t="shared" si="2"/>
        <v>7.7219948094319904E-3</v>
      </c>
      <c r="H46" s="11"/>
      <c r="I46" s="12">
        <v>4.2168033739248698E-2</v>
      </c>
      <c r="J46" s="26">
        <f t="shared" si="4"/>
        <v>5.162977718887049E-2</v>
      </c>
      <c r="K46" s="12"/>
    </row>
    <row r="47" spans="1:11" ht="15" customHeight="1" x14ac:dyDescent="0.25">
      <c r="A47" s="10">
        <v>38534</v>
      </c>
      <c r="B47" s="11" t="s">
        <v>1229</v>
      </c>
      <c r="C47" s="11"/>
      <c r="D47" s="12">
        <v>1.0024134941188201</v>
      </c>
      <c r="E47" s="23">
        <v>2.4776199999999999</v>
      </c>
      <c r="F47" s="12">
        <f t="shared" si="1"/>
        <v>1.00860754411882</v>
      </c>
      <c r="G47" s="12">
        <f t="shared" si="2"/>
        <v>8.5707104251180038E-3</v>
      </c>
      <c r="H47" s="11"/>
      <c r="I47" s="12">
        <v>4.3629530819530901E-2</v>
      </c>
      <c r="J47" s="26">
        <f t="shared" si="4"/>
        <v>5.2923048022879782E-2</v>
      </c>
      <c r="K47" s="12"/>
    </row>
    <row r="48" spans="1:11" ht="15" customHeight="1" x14ac:dyDescent="0.25">
      <c r="A48" s="10">
        <v>38626</v>
      </c>
      <c r="B48" s="11" t="s">
        <v>1229</v>
      </c>
      <c r="C48" s="11"/>
      <c r="D48" s="12">
        <v>0.99825781467350905</v>
      </c>
      <c r="E48" s="23">
        <v>2.2319300000000002</v>
      </c>
      <c r="F48" s="12">
        <f t="shared" si="1"/>
        <v>1.0038376396735091</v>
      </c>
      <c r="G48" s="12">
        <f t="shared" si="2"/>
        <v>3.8302947199035449E-3</v>
      </c>
      <c r="H48" s="11"/>
      <c r="I48" s="12">
        <v>3.9969877342657098E-2</v>
      </c>
      <c r="J48" s="26">
        <f t="shared" si="4"/>
        <v>4.9684640524106191E-2</v>
      </c>
      <c r="K48" s="12"/>
    </row>
    <row r="49" spans="1:11" ht="15" customHeight="1" x14ac:dyDescent="0.25">
      <c r="A49" s="10">
        <v>38718</v>
      </c>
      <c r="B49" s="11" t="s">
        <v>1229</v>
      </c>
      <c r="C49" s="11"/>
      <c r="D49" s="12">
        <v>1.0032434333249201</v>
      </c>
      <c r="E49" s="23">
        <v>1.4698199999999999</v>
      </c>
      <c r="F49" s="12">
        <f t="shared" si="1"/>
        <v>1.00691798332492</v>
      </c>
      <c r="G49" s="12">
        <f t="shared" si="2"/>
        <v>6.8941638702395905E-3</v>
      </c>
      <c r="H49" s="11"/>
      <c r="I49" s="12">
        <v>3.5975021641503603E-2</v>
      </c>
      <c r="J49" s="26">
        <f t="shared" si="4"/>
        <v>4.6149614396390648E-2</v>
      </c>
      <c r="K49" s="12"/>
    </row>
    <row r="50" spans="1:11" ht="15" customHeight="1" x14ac:dyDescent="0.25">
      <c r="A50" s="10">
        <v>38808</v>
      </c>
      <c r="B50" s="11" t="s">
        <v>1229</v>
      </c>
      <c r="C50" s="11"/>
      <c r="D50" s="12">
        <v>1.0037699191043099</v>
      </c>
      <c r="E50" s="23">
        <v>1.7141999999999999</v>
      </c>
      <c r="F50" s="12">
        <f t="shared" si="1"/>
        <v>1.0080554191043098</v>
      </c>
      <c r="G50" s="12">
        <f t="shared" si="2"/>
        <v>8.0231474080208511E-3</v>
      </c>
      <c r="H50" s="11"/>
      <c r="I50" s="12">
        <v>3.9813453309839202E-2</v>
      </c>
      <c r="J50" s="26">
        <f t="shared" si="4"/>
        <v>4.954622174646317E-2</v>
      </c>
      <c r="K50" s="12"/>
    </row>
    <row r="51" spans="1:11" ht="15" customHeight="1" x14ac:dyDescent="0.25">
      <c r="A51" s="10">
        <v>38899</v>
      </c>
      <c r="B51" s="11" t="s">
        <v>1229</v>
      </c>
      <c r="C51" s="11"/>
      <c r="D51" s="12">
        <v>1.0019545819232101</v>
      </c>
      <c r="E51" s="23">
        <v>1.3420300000000001</v>
      </c>
      <c r="F51" s="12">
        <f t="shared" si="1"/>
        <v>1.0053096569232101</v>
      </c>
      <c r="G51" s="12">
        <f t="shared" si="2"/>
        <v>5.2956103944498288E-3</v>
      </c>
      <c r="H51" s="11"/>
      <c r="I51" s="12">
        <v>3.6938241229939703E-2</v>
      </c>
      <c r="J51" s="26">
        <f t="shared" si="4"/>
        <v>4.7001962182285847E-2</v>
      </c>
      <c r="K51" s="12"/>
    </row>
    <row r="52" spans="1:11" ht="15" customHeight="1" x14ac:dyDescent="0.25">
      <c r="A52" s="10">
        <v>38991</v>
      </c>
      <c r="B52" s="11" t="s">
        <v>1229</v>
      </c>
      <c r="C52" s="11"/>
      <c r="D52" s="12">
        <v>1.00738134953627</v>
      </c>
      <c r="E52" s="23">
        <v>0.99765899999999996</v>
      </c>
      <c r="F52" s="12">
        <f t="shared" si="1"/>
        <v>1.00987549703627</v>
      </c>
      <c r="G52" s="12">
        <f t="shared" si="2"/>
        <v>9.8270529936461855E-3</v>
      </c>
      <c r="H52" s="11"/>
      <c r="I52" s="12">
        <v>3.8608796133324998E-2</v>
      </c>
      <c r="J52" s="26">
        <f t="shared" si="4"/>
        <v>4.8480227149289581E-2</v>
      </c>
      <c r="K52" s="12"/>
    </row>
    <row r="53" spans="1:11" ht="15" customHeight="1" x14ac:dyDescent="0.25">
      <c r="A53" s="10">
        <v>39083</v>
      </c>
      <c r="B53" s="11" t="s">
        <v>1229</v>
      </c>
      <c r="C53" s="11"/>
      <c r="D53" s="12">
        <v>1.0064031383751499</v>
      </c>
      <c r="E53" s="23">
        <v>0.83591000000000004</v>
      </c>
      <c r="F53" s="12">
        <f t="shared" si="1"/>
        <v>1.0084929133751499</v>
      </c>
      <c r="G53" s="12">
        <f t="shared" si="2"/>
        <v>8.4570514912085358E-3</v>
      </c>
      <c r="H53" s="11"/>
      <c r="I53" s="12">
        <v>4.10953164410311E-2</v>
      </c>
      <c r="J53" s="26">
        <f t="shared" si="4"/>
        <v>5.0680535473892716E-2</v>
      </c>
      <c r="K53" s="12"/>
    </row>
    <row r="54" spans="1:11" ht="15" customHeight="1" x14ac:dyDescent="0.25">
      <c r="A54" s="10">
        <v>39173</v>
      </c>
      <c r="B54" s="11" t="s">
        <v>1229</v>
      </c>
      <c r="C54" s="11"/>
      <c r="D54" s="12">
        <v>1.00488527002303</v>
      </c>
      <c r="E54" s="23">
        <v>0.74676399999999998</v>
      </c>
      <c r="F54" s="12">
        <f t="shared" si="1"/>
        <v>1.0067521800230299</v>
      </c>
      <c r="G54" s="12">
        <f t="shared" si="2"/>
        <v>6.729486153617798E-3</v>
      </c>
      <c r="H54" s="11"/>
      <c r="I54" s="12">
        <v>3.0613074623884601E-2</v>
      </c>
      <c r="J54" s="26">
        <f t="shared" si="4"/>
        <v>4.140485658267623E-2</v>
      </c>
      <c r="K54" s="12"/>
    </row>
    <row r="55" spans="1:11" ht="15" customHeight="1" x14ac:dyDescent="0.25">
      <c r="A55" s="10">
        <v>39264</v>
      </c>
      <c r="B55" s="11" t="s">
        <v>1229</v>
      </c>
      <c r="C55" s="11"/>
      <c r="D55" s="12">
        <v>1.0032813388856201</v>
      </c>
      <c r="E55" s="23">
        <v>0.85379700000000003</v>
      </c>
      <c r="F55" s="12">
        <f t="shared" si="1"/>
        <v>1.0054158313856201</v>
      </c>
      <c r="G55" s="12">
        <f t="shared" si="2"/>
        <v>5.4012185076667109E-3</v>
      </c>
      <c r="H55" s="11"/>
      <c r="I55" s="12">
        <v>2.98907444638969E-2</v>
      </c>
      <c r="J55" s="26">
        <f t="shared" si="4"/>
        <v>4.0765670544578247E-2</v>
      </c>
      <c r="K55" s="12"/>
    </row>
    <row r="56" spans="1:11" ht="15" customHeight="1" x14ac:dyDescent="0.25">
      <c r="A56" s="10">
        <v>39356</v>
      </c>
      <c r="B56" s="11" t="s">
        <v>1229</v>
      </c>
      <c r="C56" s="11"/>
      <c r="D56" s="12">
        <v>1.0006535375437</v>
      </c>
      <c r="E56" s="23">
        <v>1.0114799999999999</v>
      </c>
      <c r="F56" s="12">
        <f t="shared" si="1"/>
        <v>1.0031822375437001</v>
      </c>
      <c r="G56" s="12">
        <f t="shared" si="2"/>
        <v>3.1771849420225624E-3</v>
      </c>
      <c r="H56" s="11"/>
      <c r="I56" s="12">
        <v>2.5771437638168401E-2</v>
      </c>
      <c r="J56" s="26">
        <f t="shared" si="4"/>
        <v>3.7120518292189611E-2</v>
      </c>
      <c r="K56" s="12"/>
    </row>
    <row r="57" spans="1:11" ht="15" customHeight="1" x14ac:dyDescent="0.25">
      <c r="A57" s="10">
        <v>39448</v>
      </c>
      <c r="B57" s="11" t="s">
        <v>1229</v>
      </c>
      <c r="C57" s="11"/>
      <c r="D57" s="12">
        <v>0.99314825592037503</v>
      </c>
      <c r="E57" s="23">
        <v>1.7748200000000001</v>
      </c>
      <c r="F57" s="12">
        <f t="shared" si="1"/>
        <v>0.99758530592037509</v>
      </c>
      <c r="G57" s="12">
        <f t="shared" si="2"/>
        <v>-2.417614155047011E-3</v>
      </c>
      <c r="H57" s="11"/>
      <c r="I57" s="12">
        <v>1.3867154794918001E-2</v>
      </c>
      <c r="J57" s="26">
        <f t="shared" si="4"/>
        <v>2.6586483015156936E-2</v>
      </c>
      <c r="K57" s="12"/>
    </row>
    <row r="58" spans="1:11" ht="15" customHeight="1" x14ac:dyDescent="0.25">
      <c r="A58" s="10">
        <v>39539</v>
      </c>
      <c r="B58" s="11" t="s">
        <v>1229</v>
      </c>
      <c r="C58" s="11"/>
      <c r="D58" s="12">
        <v>0.99497812976976896</v>
      </c>
      <c r="E58" s="23">
        <v>1.19889</v>
      </c>
      <c r="F58" s="12">
        <f t="shared" si="1"/>
        <v>0.99797535476976895</v>
      </c>
      <c r="G58" s="12">
        <f t="shared" si="2"/>
        <v>-2.0266975950602008E-3</v>
      </c>
      <c r="H58" s="11"/>
      <c r="I58" s="12">
        <v>2.0924399264480201E-2</v>
      </c>
      <c r="J58" s="26">
        <f t="shared" si="4"/>
        <v>3.2831400342802811E-2</v>
      </c>
      <c r="K58" s="12"/>
    </row>
    <row r="59" spans="1:11" ht="15" customHeight="1" x14ac:dyDescent="0.25">
      <c r="A59" s="10">
        <v>39630</v>
      </c>
      <c r="B59" s="11" t="s">
        <v>1229</v>
      </c>
      <c r="C59" s="11"/>
      <c r="D59" s="12">
        <v>0.99085711804118104</v>
      </c>
      <c r="E59" s="23">
        <v>1.80182</v>
      </c>
      <c r="F59" s="12">
        <f t="shared" si="1"/>
        <v>0.99536166804118109</v>
      </c>
      <c r="G59" s="12">
        <f t="shared" si="2"/>
        <v>-4.6491223998597446E-3</v>
      </c>
      <c r="H59" s="11"/>
      <c r="I59" s="12">
        <v>1.82072195645945E-2</v>
      </c>
      <c r="J59" s="26">
        <f t="shared" si="4"/>
        <v>3.0426982773972794E-2</v>
      </c>
      <c r="K59" s="12"/>
    </row>
    <row r="60" spans="1:11" ht="15" customHeight="1" x14ac:dyDescent="0.25">
      <c r="A60" s="10">
        <v>39722</v>
      </c>
      <c r="B60" s="11" t="s">
        <v>1229</v>
      </c>
      <c r="C60" s="11"/>
      <c r="D60" s="12">
        <v>0.98805005579160599</v>
      </c>
      <c r="E60" s="23">
        <v>3.0352000000000001</v>
      </c>
      <c r="F60" s="12">
        <f t="shared" si="1"/>
        <v>0.99563805579160602</v>
      </c>
      <c r="G60" s="12">
        <f t="shared" si="2"/>
        <v>-4.3714852421124226E-3</v>
      </c>
      <c r="H60" s="11"/>
      <c r="I60" s="12">
        <v>2.6857008565070398E-2</v>
      </c>
      <c r="J60" s="26">
        <f t="shared" si="4"/>
        <v>3.8081134113426632E-2</v>
      </c>
      <c r="K60" s="12"/>
    </row>
    <row r="61" spans="1:11" ht="15" customHeight="1" x14ac:dyDescent="0.25">
      <c r="A61" s="10">
        <v>39814</v>
      </c>
      <c r="B61" s="11" t="s">
        <v>1229</v>
      </c>
      <c r="C61" s="11"/>
      <c r="D61" s="12">
        <v>1.0003960655764099</v>
      </c>
      <c r="E61" s="23">
        <v>3.2505199999999999</v>
      </c>
      <c r="F61" s="12">
        <f t="shared" si="1"/>
        <v>1.00852236557641</v>
      </c>
      <c r="G61" s="12">
        <f t="shared" si="2"/>
        <v>8.4862552375256691E-3</v>
      </c>
      <c r="H61" s="11"/>
      <c r="I61" s="12">
        <v>2.65412600247476E-2</v>
      </c>
      <c r="J61" s="26">
        <f t="shared" si="4"/>
        <v>3.7801729943832504E-2</v>
      </c>
      <c r="K61" s="12"/>
    </row>
    <row r="62" spans="1:11" ht="15" customHeight="1" x14ac:dyDescent="0.25">
      <c r="A62" s="10">
        <v>39904</v>
      </c>
      <c r="B62" s="11" t="s">
        <v>1229</v>
      </c>
      <c r="C62" s="11"/>
      <c r="D62" s="12">
        <v>1.00136829347965</v>
      </c>
      <c r="E62" s="23">
        <v>1.75105</v>
      </c>
      <c r="F62" s="12">
        <f t="shared" si="1"/>
        <v>1.00574591847965</v>
      </c>
      <c r="G62" s="12">
        <f t="shared" si="2"/>
        <v>5.7294736537443344E-3</v>
      </c>
      <c r="H62" s="11"/>
      <c r="I62" s="12">
        <v>1.87961441979289E-2</v>
      </c>
      <c r="J62" s="26">
        <f t="shared" si="4"/>
        <v>3.0948118985598981E-2</v>
      </c>
      <c r="K62" s="12"/>
    </row>
    <row r="63" spans="1:11" ht="15" customHeight="1" x14ac:dyDescent="0.25">
      <c r="A63" s="10">
        <v>39995</v>
      </c>
      <c r="B63" s="11" t="s">
        <v>1229</v>
      </c>
      <c r="C63" s="11"/>
      <c r="D63" s="12">
        <v>1.00322895268504</v>
      </c>
      <c r="E63" s="23">
        <v>1.2638400000000001</v>
      </c>
      <c r="F63" s="12">
        <f t="shared" si="1"/>
        <v>1.00638855268504</v>
      </c>
      <c r="G63" s="12">
        <f t="shared" si="2"/>
        <v>6.3682323813042067E-3</v>
      </c>
      <c r="H63" s="11"/>
      <c r="I63" s="12">
        <v>1.7521970622832499E-2</v>
      </c>
      <c r="J63" s="26">
        <f t="shared" si="4"/>
        <v>2.9820609704622969E-2</v>
      </c>
      <c r="K63" s="12"/>
    </row>
    <row r="64" spans="1:11" ht="15" customHeight="1" x14ac:dyDescent="0.25">
      <c r="A64" s="10">
        <v>40087</v>
      </c>
      <c r="B64" s="11" t="s">
        <v>1229</v>
      </c>
      <c r="C64" s="11"/>
      <c r="D64" s="12">
        <v>1.0034348530925401</v>
      </c>
      <c r="E64" s="23">
        <v>1.22282</v>
      </c>
      <c r="F64" s="12">
        <f t="shared" si="1"/>
        <v>1.0064919030925401</v>
      </c>
      <c r="G64" s="12">
        <f t="shared" si="2"/>
        <v>6.4709214479045244E-3</v>
      </c>
      <c r="H64" s="11"/>
      <c r="I64" s="12">
        <v>2.0076061226145001E-2</v>
      </c>
      <c r="J64" s="26">
        <f t="shared" si="4"/>
        <v>3.2080710617067798E-2</v>
      </c>
      <c r="K64" s="12"/>
    </row>
    <row r="65" spans="1:11" ht="15" customHeight="1" x14ac:dyDescent="0.25">
      <c r="A65" s="10">
        <v>40179</v>
      </c>
      <c r="B65" s="11" t="s">
        <v>1229</v>
      </c>
      <c r="C65" s="11"/>
      <c r="D65" s="12">
        <v>0.99345562052638503</v>
      </c>
      <c r="E65" s="23">
        <v>1.3106199999999999</v>
      </c>
      <c r="F65" s="12">
        <f t="shared" si="1"/>
        <v>0.99673217052638508</v>
      </c>
      <c r="G65" s="12">
        <f t="shared" si="2"/>
        <v>-3.2731804889998607E-3</v>
      </c>
      <c r="H65" s="11"/>
      <c r="I65" s="12">
        <v>1.8528050708962501E-2</v>
      </c>
      <c r="J65" s="26">
        <f t="shared" si="4"/>
        <v>3.0710884512300484E-2</v>
      </c>
      <c r="K65" s="12"/>
    </row>
    <row r="66" spans="1:11" ht="15" customHeight="1" x14ac:dyDescent="0.25">
      <c r="A66" s="10">
        <v>40269</v>
      </c>
      <c r="B66" s="11" t="s">
        <v>1229</v>
      </c>
      <c r="C66" s="11"/>
      <c r="D66" s="12">
        <v>0.994655779761492</v>
      </c>
      <c r="E66" s="23">
        <v>1.39524</v>
      </c>
      <c r="F66" s="12">
        <f t="shared" ref="F66:F129" si="5">D66+E66/400</f>
        <v>0.99814387976149199</v>
      </c>
      <c r="G66" s="12">
        <f t="shared" ref="G66:G129" si="6">LN(F66)</f>
        <v>-1.8578449642071961E-3</v>
      </c>
      <c r="H66" s="11"/>
      <c r="I66" s="12">
        <v>1.8025866408799801E-2</v>
      </c>
      <c r="J66" s="26">
        <f t="shared" si="4"/>
        <v>3.0266504350711397E-2</v>
      </c>
      <c r="K66" s="12"/>
    </row>
    <row r="67" spans="1:11" ht="15" customHeight="1" x14ac:dyDescent="0.25">
      <c r="A67" s="10">
        <v>40360</v>
      </c>
      <c r="B67" s="11" t="s">
        <v>1229</v>
      </c>
      <c r="C67" s="11"/>
      <c r="D67" s="12">
        <v>0.99758440574420004</v>
      </c>
      <c r="E67" s="23">
        <v>1.1606700000000001</v>
      </c>
      <c r="F67" s="12">
        <f t="shared" si="5"/>
        <v>1.0004860807442</v>
      </c>
      <c r="G67" s="12">
        <f t="shared" si="6"/>
        <v>4.859626452239139E-4</v>
      </c>
      <c r="H67" s="11"/>
      <c r="I67" s="12">
        <v>1.23684547052571E-2</v>
      </c>
      <c r="J67" s="26">
        <f t="shared" si="4"/>
        <v>2.5260291440069214E-2</v>
      </c>
      <c r="K67" s="12"/>
    </row>
    <row r="68" spans="1:11" ht="15" customHeight="1" x14ac:dyDescent="0.25">
      <c r="A68" s="10">
        <v>40452</v>
      </c>
      <c r="B68" s="11" t="s">
        <v>1229</v>
      </c>
      <c r="C68" s="11"/>
      <c r="D68" s="12">
        <v>0.99756750423190799</v>
      </c>
      <c r="E68" s="23">
        <v>1.1082399999999999</v>
      </c>
      <c r="F68" s="12">
        <f t="shared" si="5"/>
        <v>1.0003381042319079</v>
      </c>
      <c r="G68" s="12">
        <f t="shared" si="6"/>
        <v>3.3804708755226216E-4</v>
      </c>
      <c r="H68" s="11"/>
      <c r="I68" s="12">
        <v>4.2418248845911503E-3</v>
      </c>
      <c r="J68" s="26">
        <f t="shared" si="4"/>
        <v>1.8069080819362343E-2</v>
      </c>
      <c r="K68" s="12"/>
    </row>
    <row r="69" spans="1:11" ht="15" customHeight="1" x14ac:dyDescent="0.25">
      <c r="A69" s="10">
        <v>40544</v>
      </c>
      <c r="B69" s="11" t="s">
        <v>1229</v>
      </c>
      <c r="C69" s="11"/>
      <c r="D69" s="12">
        <v>0.99667732349905902</v>
      </c>
      <c r="E69" s="23">
        <v>1.11042</v>
      </c>
      <c r="F69" s="12">
        <f t="shared" si="5"/>
        <v>0.99945337349905905</v>
      </c>
      <c r="G69" s="12">
        <f t="shared" si="6"/>
        <v>-5.4677595567314196E-4</v>
      </c>
      <c r="H69" s="11"/>
      <c r="I69" s="12">
        <v>8.4853213241623698E-4</v>
      </c>
      <c r="J69" s="26">
        <f t="shared" si="4"/>
        <v>1.5066374480191573E-2</v>
      </c>
      <c r="K69" s="12"/>
    </row>
    <row r="70" spans="1:11" ht="15" customHeight="1" x14ac:dyDescent="0.25">
      <c r="A70" s="10">
        <v>40634</v>
      </c>
      <c r="B70" s="11" t="s">
        <v>1229</v>
      </c>
      <c r="C70" s="11"/>
      <c r="D70" s="12">
        <v>0.99364486216922898</v>
      </c>
      <c r="E70" s="23">
        <v>1.10362</v>
      </c>
      <c r="F70" s="12">
        <f t="shared" si="5"/>
        <v>0.99640391216922897</v>
      </c>
      <c r="G70" s="12">
        <f t="shared" si="6"/>
        <v>-3.6025692978965173E-3</v>
      </c>
      <c r="H70" s="11"/>
      <c r="I70" s="12">
        <v>-4.20794870657461E-4</v>
      </c>
      <c r="J70" s="26">
        <f t="shared" si="4"/>
        <v>1.3943153904493492E-2</v>
      </c>
      <c r="K70" s="12"/>
    </row>
    <row r="71" spans="1:11" ht="15" customHeight="1" x14ac:dyDescent="0.25">
      <c r="A71" s="10">
        <v>40725</v>
      </c>
      <c r="B71" s="11" t="s">
        <v>1229</v>
      </c>
      <c r="C71" s="11"/>
      <c r="D71" s="12">
        <v>0.99145266040978597</v>
      </c>
      <c r="E71" s="23">
        <v>2.0001500000000001</v>
      </c>
      <c r="F71" s="12">
        <f t="shared" si="5"/>
        <v>0.99645303540978591</v>
      </c>
      <c r="G71" s="12">
        <f t="shared" si="6"/>
        <v>-3.5532699835362233E-3</v>
      </c>
      <c r="H71" s="11"/>
      <c r="I71" s="12">
        <v>4.6748918891250198E-4</v>
      </c>
      <c r="J71" s="26">
        <f t="shared" si="4"/>
        <v>1.472919164761056E-2</v>
      </c>
      <c r="K71" s="12"/>
    </row>
    <row r="72" spans="1:11" ht="15" customHeight="1" x14ac:dyDescent="0.25">
      <c r="A72" s="10">
        <v>40817</v>
      </c>
      <c r="B72" s="11" t="s">
        <v>1229</v>
      </c>
      <c r="C72" s="11"/>
      <c r="D72" s="12">
        <v>0.990712830724225</v>
      </c>
      <c r="E72" s="23">
        <v>1.5950899999999999</v>
      </c>
      <c r="F72" s="12">
        <f t="shared" si="5"/>
        <v>0.994700555724225</v>
      </c>
      <c r="G72" s="12">
        <f t="shared" si="6"/>
        <v>-5.313536138667997E-3</v>
      </c>
      <c r="H72" s="11"/>
      <c r="I72" s="12">
        <v>1.4941256083714099E-3</v>
      </c>
      <c r="J72" s="26">
        <f t="shared" si="4"/>
        <v>1.5637656643080526E-2</v>
      </c>
      <c r="K72" s="12"/>
    </row>
    <row r="73" spans="1:11" ht="15" customHeight="1" x14ac:dyDescent="0.25">
      <c r="A73" s="10">
        <v>40909</v>
      </c>
      <c r="B73" s="11" t="s">
        <v>1229</v>
      </c>
      <c r="C73" s="11"/>
      <c r="D73" s="12">
        <v>0.99268163184486902</v>
      </c>
      <c r="E73" s="23">
        <v>1.20601</v>
      </c>
      <c r="F73" s="12">
        <f t="shared" si="5"/>
        <v>0.99569665684486897</v>
      </c>
      <c r="G73" s="12">
        <f t="shared" si="6"/>
        <v>-4.3126291865151481E-3</v>
      </c>
      <c r="H73" s="11"/>
      <c r="I73" s="12">
        <v>3.0755182303311198E-3</v>
      </c>
      <c r="J73" s="26">
        <f t="shared" si="4"/>
        <v>1.7037022391182516E-2</v>
      </c>
      <c r="K73" s="12"/>
    </row>
    <row r="74" spans="1:11" ht="15" customHeight="1" x14ac:dyDescent="0.25">
      <c r="A74" s="10">
        <v>41000</v>
      </c>
      <c r="B74" s="11" t="s">
        <v>1229</v>
      </c>
      <c r="C74" s="11"/>
      <c r="D74" s="12">
        <v>0.99386640244891999</v>
      </c>
      <c r="E74" s="23">
        <v>1.5262500000000001</v>
      </c>
      <c r="F74" s="12">
        <f t="shared" si="5"/>
        <v>0.99768202744891998</v>
      </c>
      <c r="G74" s="12">
        <f t="shared" si="6"/>
        <v>-2.3206632081708054E-3</v>
      </c>
      <c r="H74" s="11"/>
      <c r="I74" s="12">
        <v>2.7484670860897999E-3</v>
      </c>
      <c r="J74" s="26">
        <f t="shared" si="4"/>
        <v>1.6747616608726219E-2</v>
      </c>
      <c r="K74" s="12"/>
    </row>
    <row r="75" spans="1:11" ht="15" customHeight="1" x14ac:dyDescent="0.25">
      <c r="A75" s="10">
        <v>41091</v>
      </c>
      <c r="B75" s="11" t="s">
        <v>1229</v>
      </c>
      <c r="C75" s="11"/>
      <c r="D75" s="12">
        <v>0.996174804765671</v>
      </c>
      <c r="E75" s="23">
        <v>1.1232899999999999</v>
      </c>
      <c r="F75" s="12">
        <f t="shared" si="5"/>
        <v>0.99898302976567099</v>
      </c>
      <c r="G75" s="12">
        <f t="shared" si="6"/>
        <v>-1.0174876994185726E-3</v>
      </c>
      <c r="H75" s="11"/>
      <c r="I75" s="12">
        <v>2.29376692491299E-3</v>
      </c>
      <c r="J75" s="26">
        <f t="shared" si="4"/>
        <v>1.6345254904003723E-2</v>
      </c>
      <c r="K75" s="12"/>
    </row>
    <row r="76" spans="1:11" ht="15" customHeight="1" x14ac:dyDescent="0.25">
      <c r="A76" s="10">
        <v>41183</v>
      </c>
      <c r="B76" s="11" t="s">
        <v>1229</v>
      </c>
      <c r="C76" s="11"/>
      <c r="D76" s="12">
        <v>0.99534823896161095</v>
      </c>
      <c r="E76" s="23">
        <v>1.07704</v>
      </c>
      <c r="F76" s="12">
        <f t="shared" si="5"/>
        <v>0.998040838961611</v>
      </c>
      <c r="G76" s="12">
        <f t="shared" si="6"/>
        <v>-1.9610827046888718E-3</v>
      </c>
      <c r="H76" s="11"/>
      <c r="I76" s="12">
        <v>1.71629373551595E-4</v>
      </c>
      <c r="J76" s="26">
        <f t="shared" si="4"/>
        <v>1.4467386902788384E-2</v>
      </c>
      <c r="K76" s="12"/>
    </row>
    <row r="77" spans="1:11" ht="15" customHeight="1" x14ac:dyDescent="0.25">
      <c r="A77" s="10">
        <v>41275</v>
      </c>
      <c r="B77" s="11" t="s">
        <v>1229</v>
      </c>
      <c r="C77" s="11"/>
      <c r="D77" s="12">
        <v>0.99586153835430202</v>
      </c>
      <c r="E77" s="23">
        <v>1.3743000000000001</v>
      </c>
      <c r="F77" s="12">
        <f t="shared" si="5"/>
        <v>0.99929728835430198</v>
      </c>
      <c r="G77" s="12">
        <f t="shared" si="6"/>
        <v>-7.0295866325470566E-4</v>
      </c>
      <c r="H77" s="11"/>
      <c r="I77" s="11"/>
      <c r="J77" s="26">
        <f t="shared" ref="J77:J130" si="7">$M$2+$N$2*G77</f>
        <v>1.3693468695879183E-2</v>
      </c>
      <c r="K77" s="12"/>
    </row>
    <row r="78" spans="1:11" ht="15" customHeight="1" x14ac:dyDescent="0.25">
      <c r="A78" s="10">
        <v>41365</v>
      </c>
      <c r="B78" s="11" t="s">
        <v>1229</v>
      </c>
      <c r="C78" s="11"/>
      <c r="D78" s="12">
        <v>0.99635282387620805</v>
      </c>
      <c r="E78" s="23">
        <v>1.8604000000000001</v>
      </c>
      <c r="F78" s="12">
        <f t="shared" si="5"/>
        <v>1.001003823876208</v>
      </c>
      <c r="G78" s="12">
        <f t="shared" si="6"/>
        <v>1.0033203819389952E-3</v>
      </c>
      <c r="H78" s="11"/>
      <c r="I78" s="11"/>
      <c r="J78" s="26">
        <f t="shared" si="7"/>
        <v>1.5203345762074997E-2</v>
      </c>
      <c r="K78" s="12"/>
    </row>
    <row r="79" spans="1:11" ht="15" customHeight="1" x14ac:dyDescent="0.25">
      <c r="A79" s="10">
        <v>41456</v>
      </c>
      <c r="B79" s="11" t="s">
        <v>1229</v>
      </c>
      <c r="C79" s="11"/>
      <c r="D79" s="12">
        <v>0.99579731794813797</v>
      </c>
      <c r="E79" s="23">
        <v>1.77132</v>
      </c>
      <c r="F79" s="12">
        <f t="shared" si="5"/>
        <v>1.0002256179481379</v>
      </c>
      <c r="G79" s="12">
        <f t="shared" si="6"/>
        <v>2.2559250023624876E-4</v>
      </c>
      <c r="H79" s="11"/>
      <c r="I79" s="11"/>
      <c r="J79" s="26">
        <f t="shared" si="7"/>
        <v>1.451513858070466E-2</v>
      </c>
      <c r="K79" s="12"/>
    </row>
    <row r="80" spans="1:11" ht="15" customHeight="1" x14ac:dyDescent="0.25">
      <c r="A80" s="10">
        <v>41548</v>
      </c>
      <c r="B80" s="11" t="s">
        <v>1229</v>
      </c>
      <c r="C80" s="11"/>
      <c r="D80" s="12">
        <v>0.99745440969479604</v>
      </c>
      <c r="E80" s="23">
        <v>1.93</v>
      </c>
      <c r="F80" s="12">
        <f t="shared" si="5"/>
        <v>1.002279409694796</v>
      </c>
      <c r="G80" s="12">
        <f t="shared" si="6"/>
        <v>2.2768157814972317E-3</v>
      </c>
      <c r="H80" s="11"/>
      <c r="I80" s="11"/>
      <c r="J80" s="26">
        <f t="shared" si="7"/>
        <v>1.6330254929198113E-2</v>
      </c>
      <c r="K80" s="12"/>
    </row>
    <row r="81" spans="1:11" ht="15" customHeight="1" x14ac:dyDescent="0.25">
      <c r="A81" s="10">
        <v>41640</v>
      </c>
      <c r="B81" s="11" t="s">
        <v>1229</v>
      </c>
      <c r="C81" s="11"/>
      <c r="D81" s="12">
        <v>0.99637623683136101</v>
      </c>
      <c r="E81" s="23">
        <v>1.71</v>
      </c>
      <c r="F81" s="12">
        <f t="shared" si="5"/>
        <v>1.0006512368313609</v>
      </c>
      <c r="G81" s="12">
        <f t="shared" si="6"/>
        <v>6.5102486867594264E-4</v>
      </c>
      <c r="H81" s="11"/>
      <c r="I81" s="11"/>
      <c r="J81" s="26">
        <f t="shared" si="7"/>
        <v>1.4891601374486167E-2</v>
      </c>
      <c r="K81" s="12"/>
    </row>
    <row r="82" spans="1:11" ht="15" customHeight="1" x14ac:dyDescent="0.25">
      <c r="A82" s="10">
        <v>41730</v>
      </c>
      <c r="B82" s="11" t="s">
        <v>1229</v>
      </c>
      <c r="C82" s="11"/>
      <c r="D82" s="12">
        <v>0.99610616548209896</v>
      </c>
      <c r="E82" s="23">
        <v>1.4369499999999999</v>
      </c>
      <c r="F82" s="12">
        <f t="shared" si="5"/>
        <v>0.99969854048209894</v>
      </c>
      <c r="G82" s="12">
        <f t="shared" si="6"/>
        <v>-3.0150496595558778E-4</v>
      </c>
      <c r="H82" s="11"/>
      <c r="I82" s="11"/>
      <c r="J82" s="26">
        <f t="shared" si="7"/>
        <v>1.4048712893713566E-2</v>
      </c>
      <c r="K82" s="12"/>
    </row>
    <row r="83" spans="1:11" ht="15" customHeight="1" x14ac:dyDescent="0.25">
      <c r="A83" s="10">
        <v>41821</v>
      </c>
      <c r="B83" s="11" t="s">
        <v>1229</v>
      </c>
      <c r="C83" s="11"/>
      <c r="D83" s="12">
        <v>0.99496748068974905</v>
      </c>
      <c r="E83" s="23">
        <v>1.76197</v>
      </c>
      <c r="F83" s="12">
        <f t="shared" si="5"/>
        <v>0.99937240568974905</v>
      </c>
      <c r="G83" s="12">
        <f t="shared" si="6"/>
        <v>-6.2779132999670178E-4</v>
      </c>
      <c r="H83" s="11"/>
      <c r="I83" s="11"/>
      <c r="J83" s="26">
        <f t="shared" si="7"/>
        <v>1.3759983861105557E-2</v>
      </c>
      <c r="K83" s="12"/>
    </row>
    <row r="84" spans="1:11" ht="15" customHeight="1" x14ac:dyDescent="0.25">
      <c r="A84" s="10">
        <v>41913</v>
      </c>
      <c r="B84" s="11" t="s">
        <v>1229</v>
      </c>
      <c r="C84" s="11"/>
      <c r="D84" s="12">
        <v>0.99590666501161096</v>
      </c>
      <c r="E84" s="23">
        <v>1.9754700000000001</v>
      </c>
      <c r="F84" s="12">
        <f t="shared" si="5"/>
        <v>1.0008453400116109</v>
      </c>
      <c r="G84" s="12">
        <f t="shared" si="6"/>
        <v>8.4498291297557522E-4</v>
      </c>
      <c r="H84" s="11"/>
      <c r="I84" s="11"/>
      <c r="J84" s="26">
        <f t="shared" si="7"/>
        <v>1.5063233795172057E-2</v>
      </c>
      <c r="K84" s="12"/>
    </row>
    <row r="85" spans="1:11" ht="15" customHeight="1" x14ac:dyDescent="0.25">
      <c r="A85" s="10">
        <v>42005</v>
      </c>
      <c r="B85" s="11" t="s">
        <v>1229</v>
      </c>
      <c r="C85" s="11"/>
      <c r="D85" s="12">
        <v>0.99843948027659601</v>
      </c>
      <c r="E85" s="23">
        <v>2.8165</v>
      </c>
      <c r="F85" s="12">
        <f t="shared" si="5"/>
        <v>1.005480730276596</v>
      </c>
      <c r="G85" s="12">
        <f t="shared" si="6"/>
        <v>5.4657657272858314E-3</v>
      </c>
      <c r="H85" s="11"/>
      <c r="I85" s="11"/>
      <c r="J85" s="26">
        <f t="shared" si="7"/>
        <v>1.9152139428076191E-2</v>
      </c>
      <c r="K85" s="12"/>
    </row>
    <row r="86" spans="1:11" ht="15" customHeight="1" x14ac:dyDescent="0.25">
      <c r="A86" s="10">
        <v>42095</v>
      </c>
      <c r="B86" s="11" t="s">
        <v>1229</v>
      </c>
      <c r="C86" s="11"/>
      <c r="D86" s="12">
        <v>1.0000982101036</v>
      </c>
      <c r="E86" s="23">
        <v>2.61</v>
      </c>
      <c r="F86" s="12">
        <f t="shared" si="5"/>
        <v>1.0066232101035999</v>
      </c>
      <c r="G86" s="12">
        <f t="shared" si="6"/>
        <v>6.6013730156119759E-3</v>
      </c>
      <c r="H86" s="11"/>
      <c r="I86" s="11"/>
      <c r="J86" s="26">
        <f t="shared" si="7"/>
        <v>2.0157032153963129E-2</v>
      </c>
      <c r="K86" s="12"/>
    </row>
    <row r="87" spans="1:11" ht="15" customHeight="1" x14ac:dyDescent="0.25">
      <c r="A87" s="10">
        <v>42186</v>
      </c>
      <c r="B87" s="11" t="s">
        <v>1229</v>
      </c>
      <c r="C87" s="11"/>
      <c r="D87" s="12">
        <v>0.99959170434723399</v>
      </c>
      <c r="E87" s="23">
        <v>4.7699999999999996</v>
      </c>
      <c r="F87" s="12">
        <f t="shared" si="5"/>
        <v>1.011516704347234</v>
      </c>
      <c r="G87" s="12">
        <f t="shared" si="6"/>
        <v>1.1450891920575683E-2</v>
      </c>
      <c r="H87" s="11"/>
      <c r="I87" s="11"/>
      <c r="J87" s="26">
        <f t="shared" si="7"/>
        <v>2.4448345112012444E-2</v>
      </c>
      <c r="K87" s="12"/>
    </row>
    <row r="88" spans="1:11" ht="15" customHeight="1" x14ac:dyDescent="0.25">
      <c r="A88" s="10">
        <v>42278</v>
      </c>
      <c r="B88" s="11" t="s">
        <v>1229</v>
      </c>
      <c r="C88" s="11"/>
      <c r="D88" s="12">
        <v>1.00054299863117</v>
      </c>
      <c r="E88" s="23">
        <v>5</v>
      </c>
      <c r="F88" s="12">
        <f t="shared" si="5"/>
        <v>1.01304299863117</v>
      </c>
      <c r="G88" s="12">
        <f t="shared" si="6"/>
        <v>1.2958671188183217E-2</v>
      </c>
      <c r="H88" s="11"/>
      <c r="I88" s="11"/>
      <c r="J88" s="26">
        <f t="shared" si="7"/>
        <v>2.5782570802387546E-2</v>
      </c>
      <c r="K88" s="12"/>
    </row>
    <row r="89" spans="1:11" ht="15" customHeight="1" x14ac:dyDescent="0.25">
      <c r="A89" s="10">
        <v>42370</v>
      </c>
      <c r="B89" s="11" t="s">
        <v>1229</v>
      </c>
      <c r="C89" s="11"/>
      <c r="D89" s="12">
        <v>0.99915292697461</v>
      </c>
      <c r="E89" s="23">
        <v>3.67</v>
      </c>
      <c r="F89" s="12">
        <f t="shared" si="5"/>
        <v>1.0083279269746099</v>
      </c>
      <c r="G89" s="12">
        <f t="shared" si="6"/>
        <v>8.293441122248453E-3</v>
      </c>
      <c r="H89" s="11"/>
      <c r="I89" s="11"/>
      <c r="J89" s="26">
        <f t="shared" si="7"/>
        <v>2.1654334037760081E-2</v>
      </c>
      <c r="K89" s="12"/>
    </row>
    <row r="90" spans="1:11" ht="15" customHeight="1" x14ac:dyDescent="0.25">
      <c r="A90" s="10">
        <v>42461</v>
      </c>
      <c r="B90" s="11" t="s">
        <v>1229</v>
      </c>
      <c r="C90" s="11"/>
      <c r="D90" s="12">
        <v>0.99845253562153102</v>
      </c>
      <c r="E90" s="23">
        <v>3.15</v>
      </c>
      <c r="F90" s="12">
        <f t="shared" si="5"/>
        <v>1.0063275356215311</v>
      </c>
      <c r="G90" s="12">
        <f t="shared" si="6"/>
        <v>6.3076008159462264E-3</v>
      </c>
      <c r="H90" s="11"/>
      <c r="I90" s="11"/>
      <c r="J90" s="26">
        <f t="shared" si="7"/>
        <v>1.9897074728938983E-2</v>
      </c>
      <c r="K90" s="12"/>
    </row>
    <row r="91" spans="1:11" ht="15" customHeight="1" x14ac:dyDescent="0.25">
      <c r="A91" s="10">
        <v>42552</v>
      </c>
      <c r="B91" s="11" t="s">
        <v>1229</v>
      </c>
      <c r="C91" s="11"/>
      <c r="D91" s="12">
        <v>0.99803604000476298</v>
      </c>
      <c r="E91" s="23">
        <v>2.72</v>
      </c>
      <c r="F91" s="12">
        <f t="shared" si="5"/>
        <v>1.0048360400047629</v>
      </c>
      <c r="G91" s="12">
        <f t="shared" si="6"/>
        <v>4.8243839276966667E-3</v>
      </c>
      <c r="H91" s="11"/>
      <c r="I91" s="11"/>
      <c r="J91" s="26">
        <f t="shared" si="7"/>
        <v>1.8584584154744479E-2</v>
      </c>
      <c r="K91" s="12"/>
    </row>
    <row r="92" spans="1:11" ht="15" customHeight="1" x14ac:dyDescent="0.25">
      <c r="A92" s="10">
        <v>42644</v>
      </c>
      <c r="B92" s="11" t="s">
        <v>1229</v>
      </c>
      <c r="C92" s="11"/>
      <c r="D92" s="12">
        <v>0.99743056260484997</v>
      </c>
      <c r="E92" s="23">
        <v>2.8050000000000002</v>
      </c>
      <c r="F92" s="12">
        <f t="shared" si="5"/>
        <v>1.0044430626048499</v>
      </c>
      <c r="G92" s="12">
        <f t="shared" si="6"/>
        <v>4.4332213416594249E-3</v>
      </c>
      <c r="H92" s="11"/>
      <c r="I92" s="11"/>
      <c r="J92" s="26">
        <f t="shared" si="7"/>
        <v>1.8238446505410323E-2</v>
      </c>
      <c r="K92" s="12"/>
    </row>
    <row r="93" spans="1:11" ht="15" customHeight="1" x14ac:dyDescent="0.25">
      <c r="A93" s="10">
        <v>42736</v>
      </c>
      <c r="B93" s="11" t="s">
        <v>1229</v>
      </c>
      <c r="C93" s="11"/>
      <c r="D93" s="12">
        <v>0.996799346946594</v>
      </c>
      <c r="E93" s="23">
        <v>2.25</v>
      </c>
      <c r="F93" s="12">
        <f t="shared" si="5"/>
        <v>1.0024243469465941</v>
      </c>
      <c r="G93" s="12">
        <f t="shared" si="6"/>
        <v>2.4214129585818402E-3</v>
      </c>
      <c r="H93" s="11"/>
      <c r="I93" s="11"/>
      <c r="J93" s="26">
        <f t="shared" si="7"/>
        <v>1.6458208186393462E-2</v>
      </c>
      <c r="K93" s="12"/>
    </row>
    <row r="94" spans="1:11" ht="15" customHeight="1" x14ac:dyDescent="0.25">
      <c r="A94" s="10">
        <v>42826</v>
      </c>
      <c r="B94" s="11" t="s">
        <v>1229</v>
      </c>
      <c r="C94" s="11"/>
      <c r="D94" s="12">
        <v>0.99647173100021702</v>
      </c>
      <c r="E94" s="23">
        <v>2.41</v>
      </c>
      <c r="F94" s="12">
        <f t="shared" si="5"/>
        <v>1.0024967310002171</v>
      </c>
      <c r="G94" s="12">
        <f t="shared" si="6"/>
        <v>2.4936193456068616E-3</v>
      </c>
      <c r="H94" s="11"/>
      <c r="I94" s="11"/>
      <c r="J94" s="26">
        <f t="shared" si="7"/>
        <v>1.652210322636892E-2</v>
      </c>
      <c r="K94" s="12"/>
    </row>
    <row r="95" spans="1:11" ht="15" customHeight="1" x14ac:dyDescent="0.25">
      <c r="A95" s="10">
        <v>42917</v>
      </c>
      <c r="B95" s="11" t="s">
        <v>1229</v>
      </c>
      <c r="C95" s="11"/>
      <c r="D95" s="12">
        <v>0.99855274552857598</v>
      </c>
      <c r="E95" s="23">
        <v>1.95</v>
      </c>
      <c r="F95" s="12">
        <f t="shared" si="5"/>
        <v>1.0034277455285761</v>
      </c>
      <c r="G95" s="12">
        <f t="shared" si="6"/>
        <v>3.421884199149888E-3</v>
      </c>
      <c r="H95" s="11"/>
      <c r="I95" s="11"/>
      <c r="J95" s="26">
        <f t="shared" si="7"/>
        <v>1.7343519757075432E-2</v>
      </c>
      <c r="K95" s="12"/>
    </row>
    <row r="96" spans="1:11" ht="15" customHeight="1" x14ac:dyDescent="0.25">
      <c r="A96" s="10">
        <v>43009</v>
      </c>
      <c r="B96" s="11" t="s">
        <v>1229</v>
      </c>
      <c r="C96" s="11"/>
      <c r="D96" s="12">
        <v>0.99794945703091797</v>
      </c>
      <c r="E96" s="23">
        <v>1.61</v>
      </c>
      <c r="F96" s="12">
        <f t="shared" si="5"/>
        <v>1.0019744570309179</v>
      </c>
      <c r="G96" s="12">
        <f t="shared" si="6"/>
        <v>1.9725103526350251E-3</v>
      </c>
      <c r="H96" s="11"/>
      <c r="I96" s="11"/>
      <c r="J96" s="26">
        <f t="shared" si="7"/>
        <v>1.6060976706827535E-2</v>
      </c>
      <c r="K96" s="12"/>
    </row>
    <row r="97" spans="1:11" ht="15" customHeight="1" x14ac:dyDescent="0.25">
      <c r="A97" s="10">
        <v>43101</v>
      </c>
      <c r="B97" s="11" t="s">
        <v>1229</v>
      </c>
      <c r="C97" s="11"/>
      <c r="D97" s="12">
        <v>0.99904305496190005</v>
      </c>
      <c r="E97" s="23">
        <v>1.63</v>
      </c>
      <c r="F97" s="12">
        <f t="shared" si="5"/>
        <v>1.0031180549619001</v>
      </c>
      <c r="G97" s="12">
        <f t="shared" si="6"/>
        <v>3.1132039098095785E-3</v>
      </c>
      <c r="H97" s="11"/>
      <c r="I97" s="11"/>
      <c r="J97" s="26">
        <f t="shared" si="7"/>
        <v>1.7070370244412509E-2</v>
      </c>
      <c r="K97" s="12"/>
    </row>
    <row r="98" spans="1:11" ht="15" customHeight="1" x14ac:dyDescent="0.25">
      <c r="A98" s="10">
        <v>43191</v>
      </c>
      <c r="B98" s="11" t="s">
        <v>1229</v>
      </c>
      <c r="C98" s="11"/>
      <c r="D98" s="12">
        <v>0.99907373881281603</v>
      </c>
      <c r="E98" s="23">
        <v>2.75</v>
      </c>
      <c r="F98" s="12">
        <f t="shared" si="5"/>
        <v>1.0059487388128161</v>
      </c>
      <c r="G98" s="12">
        <f t="shared" si="6"/>
        <v>5.9311149248170358E-3</v>
      </c>
      <c r="H98" s="11"/>
      <c r="I98" s="11"/>
      <c r="J98" s="26">
        <f t="shared" si="7"/>
        <v>1.9563924407270627E-2</v>
      </c>
      <c r="K98" s="12"/>
    </row>
    <row r="99" spans="1:11" ht="15" customHeight="1" x14ac:dyDescent="0.25">
      <c r="A99" s="10">
        <v>43282</v>
      </c>
      <c r="B99" s="11" t="s">
        <v>1229</v>
      </c>
      <c r="C99" s="11"/>
      <c r="D99" s="12">
        <v>0.99848823078256399</v>
      </c>
      <c r="E99" s="23">
        <v>2.65</v>
      </c>
      <c r="F99" s="12">
        <f t="shared" si="5"/>
        <v>1.0051132307825641</v>
      </c>
      <c r="G99" s="12">
        <f t="shared" si="6"/>
        <v>5.1002026098765519E-3</v>
      </c>
      <c r="H99" s="11"/>
      <c r="I99" s="11"/>
      <c r="J99" s="26">
        <f t="shared" si="7"/>
        <v>1.8828654609588803E-2</v>
      </c>
      <c r="K99" s="12"/>
    </row>
    <row r="100" spans="1:11" ht="15" customHeight="1" x14ac:dyDescent="0.25">
      <c r="A100" s="10">
        <v>43374</v>
      </c>
      <c r="B100" s="11" t="s">
        <v>1229</v>
      </c>
      <c r="C100" s="11"/>
      <c r="D100" s="12">
        <v>1.0002433568344</v>
      </c>
      <c r="E100" s="23">
        <v>2.0362</v>
      </c>
      <c r="F100" s="12">
        <f t="shared" si="5"/>
        <v>1.0053338568344001</v>
      </c>
      <c r="G100" s="12">
        <f t="shared" si="6"/>
        <v>5.3196822013371796E-3</v>
      </c>
      <c r="H100" s="11"/>
      <c r="I100" s="11"/>
      <c r="J100" s="26">
        <f t="shared" si="7"/>
        <v>1.9022870908838266E-2</v>
      </c>
      <c r="K100" s="12"/>
    </row>
    <row r="101" spans="1:11" ht="15" customHeight="1" x14ac:dyDescent="0.25">
      <c r="A101" s="10">
        <v>43466</v>
      </c>
      <c r="B101" s="11" t="s">
        <v>1229</v>
      </c>
      <c r="C101" s="11"/>
      <c r="D101" s="12">
        <v>1.0011489334042201</v>
      </c>
      <c r="E101" s="23">
        <v>1.74342</v>
      </c>
      <c r="F101" s="12">
        <f t="shared" si="5"/>
        <v>1.0055074834042201</v>
      </c>
      <c r="G101" s="12">
        <f t="shared" si="6"/>
        <v>5.4923726735063008E-3</v>
      </c>
      <c r="H101" s="11"/>
      <c r="I101" s="11"/>
      <c r="J101" s="26">
        <f t="shared" si="7"/>
        <v>1.9175683770376446E-2</v>
      </c>
      <c r="K101" s="12"/>
    </row>
    <row r="102" spans="1:11" ht="15" customHeight="1" x14ac:dyDescent="0.25">
      <c r="A102" s="10">
        <v>43556</v>
      </c>
      <c r="B102" s="11" t="s">
        <v>1229</v>
      </c>
      <c r="C102" s="11"/>
      <c r="D102" s="12">
        <v>1.00086980240247</v>
      </c>
      <c r="E102" s="23">
        <v>1.4903299999999999</v>
      </c>
      <c r="F102" s="12">
        <f t="shared" si="5"/>
        <v>1.0045956274024701</v>
      </c>
      <c r="G102" s="12">
        <f t="shared" si="6"/>
        <v>4.5850997486530411E-3</v>
      </c>
      <c r="H102" s="11"/>
      <c r="I102" s="11"/>
      <c r="J102" s="26">
        <f t="shared" si="7"/>
        <v>1.8372842883432994E-2</v>
      </c>
      <c r="K102" s="12"/>
    </row>
    <row r="103" spans="1:11" ht="15" customHeight="1" x14ac:dyDescent="0.25">
      <c r="A103" s="10">
        <v>43647</v>
      </c>
      <c r="B103" s="11" t="s">
        <v>1229</v>
      </c>
      <c r="C103" s="11"/>
      <c r="D103" s="12">
        <v>1.00066927629311</v>
      </c>
      <c r="E103" s="23">
        <v>1.3525799999999999</v>
      </c>
      <c r="F103" s="12">
        <f t="shared" si="5"/>
        <v>1.00405072629311</v>
      </c>
      <c r="G103" s="12">
        <f t="shared" si="6"/>
        <v>4.0425441895579218E-3</v>
      </c>
      <c r="H103" s="11"/>
      <c r="I103" s="11"/>
      <c r="J103" s="26">
        <f t="shared" si="7"/>
        <v>1.789273841393119E-2</v>
      </c>
      <c r="K103" s="12"/>
    </row>
    <row r="104" spans="1:11" ht="15" customHeight="1" x14ac:dyDescent="0.25">
      <c r="A104" s="10">
        <v>43739</v>
      </c>
      <c r="B104" s="11" t="s">
        <v>1229</v>
      </c>
      <c r="C104" s="11"/>
      <c r="D104" s="12">
        <v>0.99974028084239297</v>
      </c>
      <c r="E104" s="23">
        <v>0.99016099999999996</v>
      </c>
      <c r="F104" s="12">
        <f t="shared" si="5"/>
        <v>1.002215683342393</v>
      </c>
      <c r="G104" s="12">
        <f t="shared" si="6"/>
        <v>2.2132323358246865E-3</v>
      </c>
      <c r="H104" s="11"/>
      <c r="I104" s="11"/>
      <c r="J104" s="26">
        <f t="shared" si="7"/>
        <v>1.6273990283224109E-2</v>
      </c>
      <c r="K104" s="12"/>
    </row>
    <row r="105" spans="1:11" ht="15" customHeight="1" x14ac:dyDescent="0.25">
      <c r="A105" s="10">
        <v>43831</v>
      </c>
      <c r="B105" s="11" t="s">
        <v>1229</v>
      </c>
      <c r="C105" s="11"/>
      <c r="D105" s="12">
        <v>0.99502789028458805</v>
      </c>
      <c r="E105" s="23">
        <v>2.69753</v>
      </c>
      <c r="F105" s="12">
        <f t="shared" si="5"/>
        <v>1.001771715284588</v>
      </c>
      <c r="G105" s="12">
        <f t="shared" si="6"/>
        <v>1.7701476483933697E-3</v>
      </c>
      <c r="H105" s="11"/>
      <c r="I105" s="11"/>
      <c r="J105" s="26">
        <f t="shared" si="7"/>
        <v>1.5881907048175565E-2</v>
      </c>
      <c r="K105" s="12"/>
    </row>
    <row r="106" spans="1:11" ht="15" customHeight="1" x14ac:dyDescent="0.25">
      <c r="A106" s="10">
        <v>43922</v>
      </c>
      <c r="B106" s="11" t="s">
        <v>1229</v>
      </c>
      <c r="C106" s="11"/>
      <c r="D106" s="12">
        <v>0.99669059814713901</v>
      </c>
      <c r="E106" s="23">
        <v>2.4628399999999999</v>
      </c>
      <c r="F106" s="12">
        <f t="shared" si="5"/>
        <v>1.002847698147139</v>
      </c>
      <c r="G106" s="12">
        <f t="shared" si="6"/>
        <v>2.8436511360605556E-3</v>
      </c>
      <c r="H106" s="11"/>
      <c r="I106" s="11"/>
      <c r="J106" s="26">
        <f t="shared" si="7"/>
        <v>1.6831844457930192E-2</v>
      </c>
      <c r="K106" s="12"/>
    </row>
    <row r="107" spans="1:11" ht="15" customHeight="1" x14ac:dyDescent="0.25">
      <c r="A107" s="10">
        <v>44013</v>
      </c>
      <c r="B107" s="11" t="s">
        <v>1229</v>
      </c>
      <c r="C107" s="11"/>
      <c r="D107" s="12">
        <v>0.99847792013661596</v>
      </c>
      <c r="E107" s="23">
        <v>2.4438300000000002</v>
      </c>
      <c r="F107" s="12">
        <f t="shared" si="5"/>
        <v>1.004587495136616</v>
      </c>
      <c r="G107" s="12">
        <f t="shared" si="6"/>
        <v>4.5770046519315218E-3</v>
      </c>
      <c r="H107" s="11"/>
      <c r="I107" s="11"/>
      <c r="J107" s="26">
        <f t="shared" si="7"/>
        <v>1.8365679576280575E-2</v>
      </c>
      <c r="K107" s="12"/>
    </row>
    <row r="108" spans="1:11" ht="15" customHeight="1" x14ac:dyDescent="0.25">
      <c r="A108" s="10">
        <v>44105</v>
      </c>
      <c r="B108" s="11" t="s">
        <v>1229</v>
      </c>
      <c r="C108" s="11"/>
      <c r="D108" s="12">
        <v>0.99675457786043897</v>
      </c>
      <c r="E108" s="23">
        <v>1.4221699999999999</v>
      </c>
      <c r="F108" s="12">
        <f t="shared" si="5"/>
        <v>1.000310002860439</v>
      </c>
      <c r="G108" s="12">
        <f t="shared" si="6"/>
        <v>3.0995481948058894E-4</v>
      </c>
      <c r="H108" s="11"/>
      <c r="I108" s="11"/>
      <c r="J108" s="26">
        <f t="shared" si="7"/>
        <v>1.4589790339124198E-2</v>
      </c>
      <c r="K108" s="12"/>
    </row>
    <row r="109" spans="1:11" ht="15" customHeight="1" x14ac:dyDescent="0.25">
      <c r="A109" s="10">
        <v>44197</v>
      </c>
      <c r="B109" s="11" t="s">
        <v>1229</v>
      </c>
      <c r="C109" s="11"/>
      <c r="D109" s="12">
        <v>0.99677950696203699</v>
      </c>
      <c r="E109" s="23">
        <v>2.20105</v>
      </c>
      <c r="F109" s="12">
        <f t="shared" si="5"/>
        <v>1.002282131962037</v>
      </c>
      <c r="G109" s="12">
        <f t="shared" si="6"/>
        <v>2.2795318539992654E-3</v>
      </c>
      <c r="H109" s="11"/>
      <c r="I109" s="11"/>
      <c r="J109" s="26">
        <f t="shared" si="7"/>
        <v>1.6332658367013572E-2</v>
      </c>
      <c r="K109" s="12"/>
    </row>
    <row r="110" spans="1:11" ht="15" customHeight="1" x14ac:dyDescent="0.25">
      <c r="A110" s="10">
        <v>44287</v>
      </c>
      <c r="B110" s="11" t="s">
        <v>1229</v>
      </c>
      <c r="C110" s="11"/>
      <c r="D110" s="12">
        <v>0.99351930622442997</v>
      </c>
      <c r="E110" s="23">
        <v>1.63686</v>
      </c>
      <c r="F110" s="12">
        <f t="shared" si="5"/>
        <v>0.99761145622442993</v>
      </c>
      <c r="G110" s="12">
        <f t="shared" si="6"/>
        <v>-2.3914008967333544E-3</v>
      </c>
      <c r="H110" s="11"/>
      <c r="I110" s="11"/>
      <c r="J110" s="26">
        <f t="shared" si="7"/>
        <v>1.2199375327560026E-2</v>
      </c>
      <c r="K110" s="12"/>
    </row>
    <row r="111" spans="1:11" ht="15" customHeight="1" x14ac:dyDescent="0.25">
      <c r="A111" s="10">
        <v>44378</v>
      </c>
      <c r="B111" s="11" t="s">
        <v>1229</v>
      </c>
      <c r="C111" s="11"/>
      <c r="D111" s="12">
        <v>0.98726865918906404</v>
      </c>
      <c r="E111" s="23">
        <v>2.0357099999999999</v>
      </c>
      <c r="F111" s="12">
        <f t="shared" si="5"/>
        <v>0.99235793418906404</v>
      </c>
      <c r="G111" s="12">
        <f t="shared" si="6"/>
        <v>-7.6714160223136617E-3</v>
      </c>
      <c r="H111" s="11"/>
      <c r="I111" s="11"/>
      <c r="J111" s="26">
        <f t="shared" si="7"/>
        <v>7.5271186004221176E-3</v>
      </c>
      <c r="K111" s="12"/>
    </row>
    <row r="112" spans="1:11" ht="15" customHeight="1" x14ac:dyDescent="0.25">
      <c r="A112" s="10">
        <v>44470</v>
      </c>
      <c r="B112" s="11" t="s">
        <v>1229</v>
      </c>
      <c r="C112" s="11"/>
      <c r="D112" s="12">
        <v>0.98718793262950399</v>
      </c>
      <c r="E112" s="23">
        <v>2.0355400000000001</v>
      </c>
      <c r="F112" s="12">
        <f t="shared" si="5"/>
        <v>0.99227678262950403</v>
      </c>
      <c r="G112" s="12">
        <f t="shared" si="6"/>
        <v>-7.7531958671561698E-3</v>
      </c>
      <c r="H112" s="11"/>
      <c r="I112" s="11"/>
      <c r="J112" s="26">
        <f t="shared" si="7"/>
        <v>7.4547520595842805E-3</v>
      </c>
      <c r="K112" s="12"/>
    </row>
    <row r="113" spans="1:11" ht="15" customHeight="1" x14ac:dyDescent="0.25">
      <c r="A113" s="10">
        <v>44562</v>
      </c>
      <c r="B113" s="11" t="s">
        <v>1229</v>
      </c>
      <c r="C113" s="11"/>
      <c r="D113" s="12">
        <v>0.98391565217644505</v>
      </c>
      <c r="E113" s="23">
        <v>2.0613899999999998</v>
      </c>
      <c r="F113" s="12">
        <f t="shared" si="5"/>
        <v>0.98906912717644502</v>
      </c>
      <c r="G113" s="12">
        <f t="shared" si="6"/>
        <v>-1.0991053769232938E-2</v>
      </c>
      <c r="H113" s="11"/>
      <c r="I113" s="11"/>
      <c r="J113" s="26">
        <f t="shared" si="7"/>
        <v>4.5895891756366439E-3</v>
      </c>
      <c r="K113" s="12"/>
    </row>
    <row r="114" spans="1:11" ht="15" customHeight="1" x14ac:dyDescent="0.25">
      <c r="A114" s="10">
        <v>44652</v>
      </c>
      <c r="B114" s="11" t="s">
        <v>1229</v>
      </c>
      <c r="C114" s="11"/>
      <c r="D114" s="12">
        <v>0.98340724013976599</v>
      </c>
      <c r="E114" s="23">
        <v>2.90564</v>
      </c>
      <c r="F114" s="12">
        <f t="shared" si="5"/>
        <v>0.99067134013976599</v>
      </c>
      <c r="G114" s="12">
        <f t="shared" si="6"/>
        <v>-9.3724443205958213E-3</v>
      </c>
      <c r="H114" s="11"/>
      <c r="I114" s="11"/>
      <c r="J114" s="26">
        <f t="shared" si="7"/>
        <v>6.021887891669693E-3</v>
      </c>
      <c r="K114" s="12"/>
    </row>
    <row r="115" spans="1:11" ht="15" customHeight="1" x14ac:dyDescent="0.25">
      <c r="A115" s="10">
        <v>44743</v>
      </c>
      <c r="B115" s="11" t="s">
        <v>1229</v>
      </c>
      <c r="C115" s="11"/>
      <c r="D115" s="12">
        <v>0.98659611950126602</v>
      </c>
      <c r="E115" s="23">
        <v>3.04433</v>
      </c>
      <c r="F115" s="12">
        <f t="shared" si="5"/>
        <v>0.99420694450126601</v>
      </c>
      <c r="G115" s="12">
        <f t="shared" si="6"/>
        <v>-5.8099003316106866E-3</v>
      </c>
      <c r="H115" s="11"/>
      <c r="I115" s="11"/>
      <c r="J115" s="26">
        <f t="shared" si="7"/>
        <v>9.1743637316761377E-3</v>
      </c>
      <c r="K115" s="12"/>
    </row>
    <row r="116" spans="1:11" ht="15" customHeight="1" x14ac:dyDescent="0.25">
      <c r="A116" s="10">
        <v>44835</v>
      </c>
      <c r="B116" s="11" t="s">
        <v>1229</v>
      </c>
      <c r="C116" s="11"/>
      <c r="D116" s="12">
        <v>0.99115844731215796</v>
      </c>
      <c r="E116" s="23">
        <v>2.5150199999999998</v>
      </c>
      <c r="F116" s="12">
        <f t="shared" si="5"/>
        <v>0.99744599731215799</v>
      </c>
      <c r="G116" s="12">
        <f t="shared" si="6"/>
        <v>-2.5572697165590443E-3</v>
      </c>
      <c r="H116" s="11"/>
      <c r="I116" s="11"/>
      <c r="J116" s="26">
        <f t="shared" si="7"/>
        <v>1.2052598909155766E-2</v>
      </c>
      <c r="K116" s="12"/>
    </row>
    <row r="117" spans="1:11" ht="15" customHeight="1" x14ac:dyDescent="0.25">
      <c r="A117" s="10">
        <v>44927</v>
      </c>
      <c r="B117" s="11" t="s">
        <v>1229</v>
      </c>
      <c r="C117" s="11"/>
      <c r="D117" s="12">
        <v>0.99652186593409497</v>
      </c>
      <c r="E117" s="23">
        <v>2.2479499999999999</v>
      </c>
      <c r="F117" s="12">
        <f t="shared" si="5"/>
        <v>1.0021417409340949</v>
      </c>
      <c r="G117" s="12">
        <f t="shared" si="6"/>
        <v>2.13945067648986E-3</v>
      </c>
      <c r="H117" s="11"/>
      <c r="I117" s="11"/>
      <c r="J117" s="26">
        <f t="shared" si="7"/>
        <v>1.6208701293331556E-2</v>
      </c>
      <c r="K117" s="12"/>
    </row>
    <row r="118" spans="1:11" ht="15" customHeight="1" x14ac:dyDescent="0.25">
      <c r="A118" s="10">
        <v>45017</v>
      </c>
      <c r="B118" s="11" t="s">
        <v>1229</v>
      </c>
      <c r="C118" s="11"/>
      <c r="D118" s="12">
        <v>1.0014284363505499</v>
      </c>
      <c r="E118" s="23">
        <v>1.74861</v>
      </c>
      <c r="F118" s="12">
        <f t="shared" si="5"/>
        <v>1.0057999613505499</v>
      </c>
      <c r="G118" s="12">
        <f t="shared" si="6"/>
        <v>5.783206329150678E-3</v>
      </c>
      <c r="H118" s="11"/>
      <c r="I118" s="11"/>
      <c r="J118" s="26">
        <f t="shared" si="7"/>
        <v>1.9433040893745139E-2</v>
      </c>
      <c r="K118" s="12"/>
    </row>
    <row r="119" spans="1:11" ht="15" customHeight="1" x14ac:dyDescent="0.25">
      <c r="A119" s="10">
        <v>45108</v>
      </c>
      <c r="B119" s="11" t="s">
        <v>1229</v>
      </c>
      <c r="C119" s="11"/>
      <c r="D119" s="12">
        <v>1.0062609353534999</v>
      </c>
      <c r="E119" s="23">
        <v>1.8715999999999999</v>
      </c>
      <c r="F119" s="12">
        <f t="shared" si="5"/>
        <v>1.0109399353535</v>
      </c>
      <c r="G119" s="12">
        <f t="shared" si="6"/>
        <v>1.0880527149289122E-2</v>
      </c>
      <c r="H119" s="11"/>
      <c r="I119" s="11"/>
      <c r="J119" s="26">
        <f t="shared" si="7"/>
        <v>2.3943632421578015E-2</v>
      </c>
      <c r="K119" s="12"/>
    </row>
    <row r="120" spans="1:11" ht="15" customHeight="1" x14ac:dyDescent="0.25">
      <c r="A120" s="10">
        <v>45200</v>
      </c>
      <c r="B120" s="11" t="s">
        <v>1229</v>
      </c>
      <c r="C120" s="11"/>
      <c r="D120" s="12">
        <v>1.0044652485843999</v>
      </c>
      <c r="E120" s="23">
        <v>1.3149299999999999</v>
      </c>
      <c r="F120" s="12">
        <f t="shared" si="5"/>
        <v>1.0077525735844</v>
      </c>
      <c r="G120" s="12">
        <f t="shared" si="6"/>
        <v>7.7226768043852116E-3</v>
      </c>
      <c r="H120" s="11"/>
      <c r="I120" s="11"/>
      <c r="J120" s="26">
        <f t="shared" si="7"/>
        <v>2.1149267790728503E-2</v>
      </c>
      <c r="K120" s="12"/>
    </row>
    <row r="121" spans="1:11" ht="15" customHeight="1" x14ac:dyDescent="0.25">
      <c r="A121" s="10">
        <v>45292</v>
      </c>
      <c r="B121" s="11" t="s">
        <v>1229</v>
      </c>
      <c r="C121" s="11"/>
      <c r="D121" s="12">
        <v>1.0054390363068699</v>
      </c>
      <c r="E121" s="23">
        <v>1.3746400000000001</v>
      </c>
      <c r="F121" s="12">
        <f t="shared" si="5"/>
        <v>1.0088756363068698</v>
      </c>
      <c r="G121" s="12">
        <f t="shared" si="6"/>
        <v>8.8364793715250255E-3</v>
      </c>
      <c r="H121" s="11"/>
      <c r="I121" s="11"/>
      <c r="J121" s="26">
        <f t="shared" si="7"/>
        <v>2.2134865637183636E-2</v>
      </c>
      <c r="K121" s="12"/>
    </row>
    <row r="122" spans="1:11" ht="15" customHeight="1" x14ac:dyDescent="0.25">
      <c r="A122" s="10">
        <v>45383</v>
      </c>
      <c r="B122" s="11" t="s">
        <v>1229</v>
      </c>
      <c r="C122" s="11"/>
      <c r="D122" s="12">
        <v>1.00512176089223</v>
      </c>
      <c r="E122" s="23">
        <v>1.6997199999999999</v>
      </c>
      <c r="F122" s="12">
        <f t="shared" si="5"/>
        <v>1.0093710608922299</v>
      </c>
      <c r="G122" s="12">
        <f t="shared" si="6"/>
        <v>9.3274248996396743E-3</v>
      </c>
      <c r="H122" s="11"/>
      <c r="I122" s="11"/>
      <c r="J122" s="26">
        <f t="shared" si="7"/>
        <v>2.2569300670386275E-2</v>
      </c>
      <c r="K122" s="12"/>
    </row>
    <row r="123" spans="1:11" ht="15" customHeight="1" x14ac:dyDescent="0.25">
      <c r="A123" s="10">
        <v>45474</v>
      </c>
      <c r="B123" s="11" t="s">
        <v>1229</v>
      </c>
      <c r="C123" s="11"/>
      <c r="D123" s="12">
        <v>1.0049117395379299</v>
      </c>
      <c r="E123" s="23">
        <v>1.5490900000000001</v>
      </c>
      <c r="F123" s="12">
        <f t="shared" si="5"/>
        <v>1.0087844645379298</v>
      </c>
      <c r="G123" s="12">
        <f t="shared" si="6"/>
        <v>8.7461056074168864E-3</v>
      </c>
      <c r="H123" s="11"/>
      <c r="I123" s="11"/>
      <c r="J123" s="26">
        <f t="shared" si="7"/>
        <v>2.2054894383831472E-2</v>
      </c>
      <c r="K123" s="12"/>
    </row>
    <row r="124" spans="1:11" ht="15" customHeight="1" x14ac:dyDescent="0.25">
      <c r="A124" s="10">
        <v>45566</v>
      </c>
      <c r="B124" s="11" t="s">
        <v>1229</v>
      </c>
      <c r="C124" s="11"/>
      <c r="D124" s="12">
        <v>1.0049275872880701</v>
      </c>
      <c r="E124" s="23">
        <v>2.2033900000000002</v>
      </c>
      <c r="F124" s="12">
        <f t="shared" si="5"/>
        <v>1.0104360622880701</v>
      </c>
      <c r="G124" s="12">
        <f t="shared" si="6"/>
        <v>1.0381982517855786E-2</v>
      </c>
      <c r="H124" s="11"/>
      <c r="I124" s="11"/>
      <c r="J124" s="26">
        <f t="shared" si="7"/>
        <v>2.3502472983093096E-2</v>
      </c>
      <c r="K124" s="12"/>
    </row>
    <row r="125" spans="1:11" ht="15" customHeight="1" x14ac:dyDescent="0.25">
      <c r="A125" s="10">
        <v>45658</v>
      </c>
      <c r="B125" s="11" t="s">
        <v>1229</v>
      </c>
      <c r="C125" s="11"/>
      <c r="D125" s="12">
        <v>1.0037164461936301</v>
      </c>
      <c r="E125" s="23">
        <v>1.8959900000000001</v>
      </c>
      <c r="F125" s="12">
        <f t="shared" si="5"/>
        <v>1.00845642119363</v>
      </c>
      <c r="G125" s="12">
        <f t="shared" si="6"/>
        <v>8.4208659699379247E-3</v>
      </c>
      <c r="H125" s="11"/>
      <c r="I125" s="11"/>
      <c r="J125" s="26">
        <f t="shared" si="7"/>
        <v>2.1767091593877162E-2</v>
      </c>
      <c r="K125" s="12"/>
    </row>
    <row r="126" spans="1:11" ht="15" customHeight="1" x14ac:dyDescent="0.25">
      <c r="A126" s="10">
        <v>45748</v>
      </c>
      <c r="B126" s="11" t="s">
        <v>1229</v>
      </c>
      <c r="C126" s="11"/>
      <c r="D126" s="12">
        <v>1.0051142002886999</v>
      </c>
      <c r="E126" s="23">
        <v>1.5169699999999999</v>
      </c>
      <c r="F126" s="12">
        <f t="shared" si="5"/>
        <v>1.0089066252887</v>
      </c>
      <c r="G126" s="12">
        <f t="shared" si="6"/>
        <v>8.8671952544252097E-3</v>
      </c>
      <c r="H126" s="11"/>
      <c r="I126" s="11"/>
      <c r="J126" s="26">
        <f t="shared" si="7"/>
        <v>2.2162045955250356E-2</v>
      </c>
      <c r="K126" s="12"/>
    </row>
    <row r="127" spans="1:11" ht="15" customHeight="1" x14ac:dyDescent="0.25">
      <c r="A127" s="10">
        <v>45839</v>
      </c>
      <c r="B127" s="11" t="s">
        <v>1229</v>
      </c>
      <c r="C127" s="11"/>
      <c r="D127" s="12">
        <v>1.00351562119141</v>
      </c>
      <c r="E127" s="23">
        <v>1.3866700000000001</v>
      </c>
      <c r="F127" s="12">
        <f t="shared" si="5"/>
        <v>1.0069822961914101</v>
      </c>
      <c r="G127" s="12">
        <f t="shared" si="6"/>
        <v>6.9580328384959743E-3</v>
      </c>
      <c r="H127" s="11"/>
      <c r="I127" s="11"/>
      <c r="J127" s="26">
        <f t="shared" si="7"/>
        <v>2.0472638495448076E-2</v>
      </c>
      <c r="K127" s="12"/>
    </row>
    <row r="128" spans="1:11" ht="15" customHeight="1" x14ac:dyDescent="0.25">
      <c r="A128" s="10">
        <v>45931</v>
      </c>
      <c r="B128" s="11" t="s">
        <v>1229</v>
      </c>
      <c r="C128" s="11"/>
      <c r="D128" s="12">
        <v>1.0017136852497099</v>
      </c>
      <c r="E128" s="23">
        <v>1.41004</v>
      </c>
      <c r="F128" s="12">
        <f t="shared" si="5"/>
        <v>1.00523878524971</v>
      </c>
      <c r="G128" s="12">
        <f t="shared" si="6"/>
        <v>5.2251105526725074E-3</v>
      </c>
      <c r="H128" s="11"/>
      <c r="I128" s="11"/>
      <c r="J128" s="26">
        <f t="shared" si="7"/>
        <v>1.893918497022621E-2</v>
      </c>
      <c r="K128" s="12"/>
    </row>
    <row r="129" spans="1:11" ht="15" customHeight="1" x14ac:dyDescent="0.25">
      <c r="A129" s="10">
        <v>46023</v>
      </c>
      <c r="B129" s="11" t="s">
        <v>1229</v>
      </c>
      <c r="C129" s="11"/>
      <c r="D129" s="12">
        <v>1.0027129314379499</v>
      </c>
      <c r="E129" s="23">
        <v>1.4182399999999999</v>
      </c>
      <c r="F129" s="12">
        <f t="shared" si="5"/>
        <v>1.00625853143795</v>
      </c>
      <c r="G129" s="12">
        <f t="shared" si="6"/>
        <v>6.23902816234638E-3</v>
      </c>
      <c r="H129" s="11"/>
      <c r="I129" s="11"/>
      <c r="J129" s="26">
        <f t="shared" si="7"/>
        <v>1.9836395159949234E-2</v>
      </c>
      <c r="K129" s="12"/>
    </row>
    <row r="130" spans="1:11" ht="15" customHeight="1" x14ac:dyDescent="0.25">
      <c r="A130" s="10">
        <v>46113</v>
      </c>
      <c r="B130" s="11" t="s">
        <v>1229</v>
      </c>
      <c r="C130" s="11"/>
      <c r="D130" s="12">
        <v>1.0013931068733899</v>
      </c>
      <c r="E130" s="23">
        <v>1.2682800000000001</v>
      </c>
      <c r="F130" s="12">
        <f t="shared" ref="F130" si="8">D130+E130/400</f>
        <v>1.00456380687339</v>
      </c>
      <c r="G130" s="12">
        <f t="shared" ref="G130" si="9">LN(F130)</f>
        <v>4.5534242842374881E-3</v>
      </c>
      <c r="H130" s="11"/>
      <c r="I130" s="11"/>
      <c r="J130" s="26">
        <f t="shared" si="7"/>
        <v>1.834481343689149E-2</v>
      </c>
      <c r="K130" s="12"/>
    </row>
  </sheetData>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091CD-F07B-4C61-93D3-A29D9634505A}">
  <dimension ref="A1:H123"/>
  <sheetViews>
    <sheetView workbookViewId="0">
      <selection activeCell="G1" sqref="G1:G1048576"/>
    </sheetView>
  </sheetViews>
  <sheetFormatPr defaultRowHeight="15" x14ac:dyDescent="0.25"/>
  <cols>
    <col min="1" max="1" width="11.7109375" bestFit="1" customWidth="1"/>
    <col min="6" max="6" width="11.140625" bestFit="1" customWidth="1"/>
    <col min="7" max="7" width="9.140625" style="3"/>
  </cols>
  <sheetData>
    <row r="1" spans="1:8" x14ac:dyDescent="0.25">
      <c r="A1" t="s">
        <v>936</v>
      </c>
      <c r="B1" t="s">
        <v>937</v>
      </c>
      <c r="E1" t="s">
        <v>1187</v>
      </c>
      <c r="F1" t="s">
        <v>1186</v>
      </c>
      <c r="G1" s="3" t="s">
        <v>1185</v>
      </c>
      <c r="H1" t="s">
        <v>1188</v>
      </c>
    </row>
    <row r="2" spans="1:8" x14ac:dyDescent="0.25">
      <c r="A2" t="s">
        <v>938</v>
      </c>
      <c r="B2">
        <v>99.41</v>
      </c>
      <c r="C2" t="e">
        <f t="shared" ref="C2:C4" si="0">(B2/#REF!-1)*100</f>
        <v>#REF!</v>
      </c>
      <c r="D2" cm="1">
        <f t="array" ref="D2:D122">TRANSPOSE('crescimento PIB'!C4:$DS$4)</f>
        <v>2.5</v>
      </c>
      <c r="E2">
        <f>LN(B2)</f>
        <v>4.5992527122240539</v>
      </c>
      <c r="F2" cm="1">
        <f t="array" ref="F2:F122">TREND($E$2:$E$122)</f>
        <v>4.6539878786858537</v>
      </c>
      <c r="G2" s="3">
        <f>E2-F2</f>
        <v>-5.4735166461799878E-2</v>
      </c>
      <c r="H2">
        <v>-1.1225600000000001E-2</v>
      </c>
    </row>
    <row r="3" spans="1:8" x14ac:dyDescent="0.25">
      <c r="A3" t="s">
        <v>939</v>
      </c>
      <c r="B3">
        <v>100.6</v>
      </c>
      <c r="C3" t="e">
        <f t="shared" si="0"/>
        <v>#REF!</v>
      </c>
      <c r="D3">
        <v>2.1</v>
      </c>
      <c r="E3">
        <f t="shared" ref="E3:E66" si="1">LN(B3)</f>
        <v>4.6111522576656387</v>
      </c>
      <c r="F3">
        <v>4.6595259670962639</v>
      </c>
      <c r="G3" s="3">
        <f t="shared" ref="G3:G66" si="2">E3-F3</f>
        <v>-4.8373709430625134E-2</v>
      </c>
      <c r="H3">
        <v>-1.7872000000000001E-3</v>
      </c>
    </row>
    <row r="4" spans="1:8" x14ac:dyDescent="0.25">
      <c r="A4" t="s">
        <v>940</v>
      </c>
      <c r="B4">
        <v>104.31</v>
      </c>
      <c r="C4" t="e">
        <f t="shared" si="0"/>
        <v>#REF!</v>
      </c>
      <c r="D4">
        <v>2.2999999999999998</v>
      </c>
      <c r="E4">
        <f t="shared" si="1"/>
        <v>4.6473672346878798</v>
      </c>
      <c r="F4">
        <v>4.6650640555066731</v>
      </c>
      <c r="G4" s="3">
        <f t="shared" si="2"/>
        <v>-1.7696820818793313E-2</v>
      </c>
      <c r="H4">
        <v>2.66512E-2</v>
      </c>
    </row>
    <row r="5" spans="1:8" x14ac:dyDescent="0.25">
      <c r="A5" t="s">
        <v>941</v>
      </c>
      <c r="B5">
        <v>103.32</v>
      </c>
      <c r="D5">
        <v>2.2000000000000002</v>
      </c>
      <c r="E5">
        <f t="shared" si="1"/>
        <v>4.6378309682276395</v>
      </c>
      <c r="F5">
        <v>4.6706021439170833</v>
      </c>
      <c r="G5" s="3">
        <f t="shared" si="2"/>
        <v>-3.2771175689443766E-2</v>
      </c>
      <c r="H5">
        <v>1.9089600000000002E-2</v>
      </c>
    </row>
    <row r="6" spans="1:8" x14ac:dyDescent="0.25">
      <c r="A6" t="s">
        <v>942</v>
      </c>
      <c r="B6">
        <v>104.43</v>
      </c>
      <c r="C6">
        <f t="shared" ref="C6:C69" si="3">(B6/B2-1)*100</f>
        <v>5.0497937833215989</v>
      </c>
      <c r="D6">
        <v>3.2</v>
      </c>
      <c r="E6">
        <f t="shared" si="1"/>
        <v>4.6485169904914576</v>
      </c>
      <c r="F6">
        <v>4.6761402323274925</v>
      </c>
      <c r="G6" s="3">
        <f t="shared" si="2"/>
        <v>-2.7623241836034929E-2</v>
      </c>
      <c r="H6">
        <v>1.2527999999999999E-2</v>
      </c>
    </row>
    <row r="7" spans="1:8" x14ac:dyDescent="0.25">
      <c r="A7" t="s">
        <v>943</v>
      </c>
      <c r="B7">
        <v>104.93</v>
      </c>
      <c r="C7">
        <f t="shared" si="3"/>
        <v>4.3041749502982229</v>
      </c>
      <c r="D7">
        <v>4</v>
      </c>
      <c r="E7">
        <f t="shared" si="1"/>
        <v>4.6532934611698193</v>
      </c>
      <c r="F7">
        <v>4.6816783207379018</v>
      </c>
      <c r="G7" s="3">
        <f t="shared" si="2"/>
        <v>-2.8384859568082454E-2</v>
      </c>
      <c r="H7">
        <v>1.9966500000000002E-2</v>
      </c>
    </row>
    <row r="8" spans="1:8" x14ac:dyDescent="0.25">
      <c r="A8" t="s">
        <v>944</v>
      </c>
      <c r="B8">
        <v>106.27</v>
      </c>
      <c r="C8">
        <f t="shared" si="3"/>
        <v>1.879014476080898</v>
      </c>
      <c r="D8">
        <v>3</v>
      </c>
      <c r="E8">
        <f t="shared" si="1"/>
        <v>4.6659830253846035</v>
      </c>
      <c r="F8">
        <v>4.6872164091483119</v>
      </c>
      <c r="G8" s="3">
        <f t="shared" si="2"/>
        <v>-2.1233383763708424E-2</v>
      </c>
      <c r="H8">
        <v>2.44049E-2</v>
      </c>
    </row>
    <row r="9" spans="1:8" x14ac:dyDescent="0.25">
      <c r="A9" t="s">
        <v>945</v>
      </c>
      <c r="B9">
        <v>107.16</v>
      </c>
      <c r="C9">
        <f t="shared" si="3"/>
        <v>3.716608594657389</v>
      </c>
      <c r="D9">
        <v>3.4</v>
      </c>
      <c r="E9">
        <f t="shared" si="1"/>
        <v>4.6743230446764077</v>
      </c>
      <c r="F9">
        <v>4.6927544975587212</v>
      </c>
      <c r="G9" s="3">
        <f t="shared" si="2"/>
        <v>-1.8431452882313515E-2</v>
      </c>
      <c r="H9">
        <v>1.88433E-2</v>
      </c>
    </row>
    <row r="10" spans="1:8" x14ac:dyDescent="0.25">
      <c r="A10" t="s">
        <v>946</v>
      </c>
      <c r="B10">
        <v>105.04</v>
      </c>
      <c r="C10">
        <f t="shared" si="3"/>
        <v>0.58412333620607715</v>
      </c>
      <c r="D10">
        <v>2.8</v>
      </c>
      <c r="E10">
        <f t="shared" si="1"/>
        <v>4.6543412299945404</v>
      </c>
      <c r="F10">
        <v>4.6982925859691305</v>
      </c>
      <c r="G10" s="3">
        <f t="shared" si="2"/>
        <v>-4.3951355974590101E-2</v>
      </c>
      <c r="H10">
        <v>-1.7183000000000001E-3</v>
      </c>
    </row>
    <row r="11" spans="1:8" x14ac:dyDescent="0.25">
      <c r="A11" t="s">
        <v>947</v>
      </c>
      <c r="B11">
        <v>106.85</v>
      </c>
      <c r="C11">
        <f t="shared" si="3"/>
        <v>1.8297912894310375</v>
      </c>
      <c r="D11">
        <v>2</v>
      </c>
      <c r="E11">
        <f t="shared" si="1"/>
        <v>4.6714259817651564</v>
      </c>
      <c r="F11">
        <v>4.7038306743795406</v>
      </c>
      <c r="G11" s="3">
        <f t="shared" si="2"/>
        <v>-3.2404692614384167E-2</v>
      </c>
      <c r="H11">
        <v>1.1720100000000001E-2</v>
      </c>
    </row>
    <row r="12" spans="1:8" x14ac:dyDescent="0.25">
      <c r="A12" t="s">
        <v>948</v>
      </c>
      <c r="B12">
        <v>106.81</v>
      </c>
      <c r="C12">
        <f t="shared" si="3"/>
        <v>0.50813964430225234</v>
      </c>
      <c r="D12">
        <v>1.6</v>
      </c>
      <c r="E12">
        <f t="shared" si="1"/>
        <v>4.6710515551016041</v>
      </c>
      <c r="F12">
        <v>4.7093687627899499</v>
      </c>
      <c r="G12" s="3">
        <f t="shared" si="2"/>
        <v>-3.8317207688345789E-2</v>
      </c>
      <c r="H12">
        <v>4.1584999999999999E-3</v>
      </c>
    </row>
    <row r="13" spans="1:8" x14ac:dyDescent="0.25">
      <c r="A13" t="s">
        <v>949</v>
      </c>
      <c r="B13">
        <v>105.59</v>
      </c>
      <c r="C13">
        <f t="shared" si="3"/>
        <v>-1.4650989175065243</v>
      </c>
      <c r="D13">
        <v>0.3</v>
      </c>
      <c r="E13">
        <f t="shared" si="1"/>
        <v>4.6595636698184233</v>
      </c>
      <c r="F13">
        <v>4.71490685120036</v>
      </c>
      <c r="G13" s="3">
        <f t="shared" si="2"/>
        <v>-5.5343181381936724E-2</v>
      </c>
      <c r="H13">
        <v>-2.1402999999999998E-2</v>
      </c>
    </row>
    <row r="14" spans="1:8" x14ac:dyDescent="0.25">
      <c r="A14" t="s">
        <v>950</v>
      </c>
      <c r="B14">
        <v>105.78</v>
      </c>
      <c r="C14">
        <f t="shared" si="3"/>
        <v>0.70449352627570683</v>
      </c>
      <c r="D14">
        <v>0.3</v>
      </c>
      <c r="E14">
        <f t="shared" si="1"/>
        <v>4.6613614656378335</v>
      </c>
      <c r="F14">
        <v>4.7204449396107693</v>
      </c>
      <c r="G14" s="3">
        <f t="shared" si="2"/>
        <v>-5.9083473972935785E-2</v>
      </c>
      <c r="H14">
        <v>-1.8964600000000002E-2</v>
      </c>
    </row>
    <row r="15" spans="1:8" x14ac:dyDescent="0.25">
      <c r="A15" t="s">
        <v>951</v>
      </c>
      <c r="B15">
        <v>106.34</v>
      </c>
      <c r="C15">
        <f t="shared" si="3"/>
        <v>-0.4773046326626007</v>
      </c>
      <c r="D15">
        <v>-0.2</v>
      </c>
      <c r="E15">
        <f t="shared" si="1"/>
        <v>4.666641508076192</v>
      </c>
      <c r="F15">
        <v>4.7259830280211785</v>
      </c>
      <c r="G15" s="3">
        <f t="shared" si="2"/>
        <v>-5.9341519944986487E-2</v>
      </c>
      <c r="H15">
        <v>-1.7526199999999999E-2</v>
      </c>
    </row>
    <row r="16" spans="1:8" x14ac:dyDescent="0.25">
      <c r="A16" t="s">
        <v>952</v>
      </c>
      <c r="B16">
        <v>106.34</v>
      </c>
      <c r="C16">
        <f t="shared" si="3"/>
        <v>-0.44003370470929726</v>
      </c>
      <c r="D16">
        <v>-0.4</v>
      </c>
      <c r="E16">
        <f t="shared" si="1"/>
        <v>4.666641508076192</v>
      </c>
      <c r="F16">
        <v>4.7315211164315887</v>
      </c>
      <c r="G16" s="3">
        <f t="shared" si="2"/>
        <v>-6.4879608355396634E-2</v>
      </c>
      <c r="H16">
        <v>-2.0087799999999999E-2</v>
      </c>
    </row>
    <row r="17" spans="1:8" x14ac:dyDescent="0.25">
      <c r="A17" t="s">
        <v>953</v>
      </c>
      <c r="B17">
        <v>107.85</v>
      </c>
      <c r="C17">
        <f t="shared" si="3"/>
        <v>2.1403542002083498</v>
      </c>
      <c r="D17">
        <v>0.5</v>
      </c>
      <c r="E17">
        <f t="shared" si="1"/>
        <v>4.6807413728351657</v>
      </c>
      <c r="F17">
        <v>4.7370592048419979</v>
      </c>
      <c r="G17" s="3">
        <f t="shared" si="2"/>
        <v>-5.6317832006832269E-2</v>
      </c>
      <c r="H17">
        <v>-7.6493999999999998E-3</v>
      </c>
    </row>
    <row r="18" spans="1:8" x14ac:dyDescent="0.25">
      <c r="A18" t="s">
        <v>954</v>
      </c>
      <c r="B18">
        <v>108.98</v>
      </c>
      <c r="C18">
        <f t="shared" si="3"/>
        <v>3.0251465305350722</v>
      </c>
      <c r="D18">
        <v>1.3</v>
      </c>
      <c r="E18">
        <f t="shared" si="1"/>
        <v>4.6911643791549524</v>
      </c>
      <c r="F18">
        <v>4.7425972932524081</v>
      </c>
      <c r="G18" s="3">
        <f t="shared" si="2"/>
        <v>-5.1432914097455651E-2</v>
      </c>
      <c r="H18">
        <v>7.7889999999999999E-3</v>
      </c>
    </row>
    <row r="19" spans="1:8" x14ac:dyDescent="0.25">
      <c r="A19" t="s">
        <v>955</v>
      </c>
      <c r="B19">
        <v>110.53</v>
      </c>
      <c r="C19">
        <f t="shared" si="3"/>
        <v>3.9401918375023381</v>
      </c>
      <c r="D19">
        <v>2.4</v>
      </c>
      <c r="E19">
        <f t="shared" si="1"/>
        <v>4.7052869773228636</v>
      </c>
      <c r="F19">
        <v>4.7481353816628173</v>
      </c>
      <c r="G19" s="3">
        <f t="shared" si="2"/>
        <v>-4.2848404339953738E-2</v>
      </c>
      <c r="H19">
        <v>2.2274999999999999E-3</v>
      </c>
    </row>
    <row r="20" spans="1:8" x14ac:dyDescent="0.25">
      <c r="A20" t="s">
        <v>956</v>
      </c>
      <c r="B20">
        <v>111.83</v>
      </c>
      <c r="C20">
        <f t="shared" si="3"/>
        <v>5.1626857250329117</v>
      </c>
      <c r="D20">
        <v>3.8</v>
      </c>
      <c r="E20">
        <f t="shared" si="1"/>
        <v>4.7169798610400973</v>
      </c>
      <c r="F20">
        <v>4.7536734700732266</v>
      </c>
      <c r="G20" s="3">
        <f t="shared" si="2"/>
        <v>-3.6693609033129349E-2</v>
      </c>
      <c r="H20">
        <v>-3.3409999999999999E-4</v>
      </c>
    </row>
    <row r="21" spans="1:8" x14ac:dyDescent="0.25">
      <c r="A21" t="s">
        <v>957</v>
      </c>
      <c r="B21">
        <v>113.2</v>
      </c>
      <c r="C21">
        <f t="shared" si="3"/>
        <v>4.960593416782566</v>
      </c>
      <c r="D21">
        <v>4.4000000000000004</v>
      </c>
      <c r="E21">
        <f t="shared" si="1"/>
        <v>4.7291561657690826</v>
      </c>
      <c r="F21">
        <v>4.7592115584836368</v>
      </c>
      <c r="G21" s="3">
        <f t="shared" si="2"/>
        <v>-3.0055392714554152E-2</v>
      </c>
      <c r="H21">
        <v>8.1043E-3</v>
      </c>
    </row>
    <row r="22" spans="1:8" x14ac:dyDescent="0.25">
      <c r="A22" t="s">
        <v>958</v>
      </c>
      <c r="B22">
        <v>113.61</v>
      </c>
      <c r="C22">
        <f t="shared" si="3"/>
        <v>4.2484859607267333</v>
      </c>
      <c r="D22">
        <v>4.2</v>
      </c>
      <c r="E22">
        <f t="shared" si="1"/>
        <v>4.7327715305818128</v>
      </c>
      <c r="F22">
        <v>4.764749646894046</v>
      </c>
      <c r="G22" s="3">
        <f t="shared" si="2"/>
        <v>-3.197811631223324E-2</v>
      </c>
      <c r="H22">
        <v>2.6542699999999999E-2</v>
      </c>
    </row>
    <row r="23" spans="1:8" x14ac:dyDescent="0.25">
      <c r="A23" t="s">
        <v>959</v>
      </c>
      <c r="B23">
        <v>113.07</v>
      </c>
      <c r="C23">
        <f t="shared" si="3"/>
        <v>2.2980186374739864</v>
      </c>
      <c r="D23">
        <v>3.7</v>
      </c>
      <c r="E23">
        <f t="shared" si="1"/>
        <v>4.7280070959471541</v>
      </c>
      <c r="F23">
        <v>4.7702877353044562</v>
      </c>
      <c r="G23" s="3">
        <f t="shared" si="2"/>
        <v>-4.2280639357302086E-2</v>
      </c>
      <c r="H23">
        <v>-1.0189000000000001E-3</v>
      </c>
    </row>
    <row r="24" spans="1:8" x14ac:dyDescent="0.25">
      <c r="A24" t="s">
        <v>960</v>
      </c>
      <c r="B24">
        <v>112.47</v>
      </c>
      <c r="C24">
        <f t="shared" si="3"/>
        <v>0.57229723687739487</v>
      </c>
      <c r="D24">
        <v>2.7</v>
      </c>
      <c r="E24">
        <f t="shared" si="1"/>
        <v>4.7226865194159302</v>
      </c>
      <c r="F24">
        <v>4.7758258237148654</v>
      </c>
      <c r="G24" s="3">
        <f t="shared" si="2"/>
        <v>-5.3139304298935208E-2</v>
      </c>
      <c r="H24">
        <v>-1.5580500000000001E-2</v>
      </c>
    </row>
    <row r="25" spans="1:8" x14ac:dyDescent="0.25">
      <c r="A25" t="s">
        <v>961</v>
      </c>
      <c r="B25">
        <v>112.16</v>
      </c>
      <c r="C25">
        <f t="shared" si="3"/>
        <v>-0.9187279151943506</v>
      </c>
      <c r="D25">
        <v>1.4</v>
      </c>
      <c r="E25">
        <f t="shared" si="1"/>
        <v>4.7199264232862799</v>
      </c>
      <c r="F25">
        <v>4.7813639121252747</v>
      </c>
      <c r="G25" s="3">
        <f t="shared" si="2"/>
        <v>-6.1437488838994803E-2</v>
      </c>
      <c r="H25">
        <v>-2.1142000000000001E-2</v>
      </c>
    </row>
    <row r="26" spans="1:8" x14ac:dyDescent="0.25">
      <c r="A26" t="s">
        <v>962</v>
      </c>
      <c r="B26">
        <v>114.94</v>
      </c>
      <c r="C26">
        <f t="shared" si="3"/>
        <v>1.1706715958102354</v>
      </c>
      <c r="D26">
        <v>0.7</v>
      </c>
      <c r="E26">
        <f t="shared" si="1"/>
        <v>4.7444102530795957</v>
      </c>
      <c r="F26">
        <v>4.7869020005356848</v>
      </c>
      <c r="G26" s="3">
        <f t="shared" si="2"/>
        <v>-4.249174745608908E-2</v>
      </c>
    </row>
    <row r="27" spans="1:8" x14ac:dyDescent="0.25">
      <c r="A27" t="s">
        <v>963</v>
      </c>
      <c r="B27">
        <v>115.19</v>
      </c>
      <c r="C27">
        <f t="shared" si="3"/>
        <v>1.874944724506955</v>
      </c>
      <c r="D27">
        <v>0.7</v>
      </c>
      <c r="E27">
        <f t="shared" si="1"/>
        <v>4.7465829389384151</v>
      </c>
      <c r="F27">
        <v>4.7924400889460941</v>
      </c>
      <c r="G27" s="3">
        <f t="shared" si="2"/>
        <v>-4.5857150007678982E-2</v>
      </c>
    </row>
    <row r="28" spans="1:8" x14ac:dyDescent="0.25">
      <c r="A28" t="s">
        <v>964</v>
      </c>
      <c r="B28">
        <v>116.8</v>
      </c>
      <c r="C28">
        <f t="shared" si="3"/>
        <v>3.8499155330310231</v>
      </c>
      <c r="D28">
        <v>1.6</v>
      </c>
      <c r="E28">
        <f t="shared" si="1"/>
        <v>4.7604630703941266</v>
      </c>
      <c r="F28">
        <v>4.7979781773565033</v>
      </c>
      <c r="G28" s="3">
        <f t="shared" si="2"/>
        <v>-3.7515106962376699E-2</v>
      </c>
    </row>
    <row r="29" spans="1:8" x14ac:dyDescent="0.25">
      <c r="A29" t="s">
        <v>965</v>
      </c>
      <c r="B29">
        <v>118</v>
      </c>
      <c r="C29">
        <f t="shared" si="3"/>
        <v>5.2068473609129917</v>
      </c>
      <c r="D29">
        <v>3.1</v>
      </c>
      <c r="E29">
        <f t="shared" si="1"/>
        <v>4.7706846244656651</v>
      </c>
      <c r="F29">
        <v>4.8035162657669135</v>
      </c>
      <c r="G29" s="3">
        <f t="shared" si="2"/>
        <v>-3.2831641301248382E-2</v>
      </c>
    </row>
    <row r="30" spans="1:8" x14ac:dyDescent="0.25">
      <c r="A30" t="s">
        <v>966</v>
      </c>
      <c r="B30">
        <v>117.47</v>
      </c>
      <c r="C30">
        <f t="shared" si="3"/>
        <v>2.2011484252653535</v>
      </c>
      <c r="D30">
        <v>3.6</v>
      </c>
      <c r="E30">
        <f t="shared" si="1"/>
        <v>4.7661829818357946</v>
      </c>
      <c r="F30">
        <v>4.8090543541773227</v>
      </c>
      <c r="G30" s="3">
        <f t="shared" si="2"/>
        <v>-4.2871372341528158E-2</v>
      </c>
    </row>
    <row r="31" spans="1:8" x14ac:dyDescent="0.25">
      <c r="A31" t="s">
        <v>967</v>
      </c>
      <c r="B31">
        <v>116.48</v>
      </c>
      <c r="C31">
        <f t="shared" si="3"/>
        <v>1.1198888792429917</v>
      </c>
      <c r="D31">
        <v>3.2</v>
      </c>
      <c r="E31">
        <f t="shared" si="1"/>
        <v>4.7577195844483757</v>
      </c>
      <c r="F31">
        <v>4.8145924425877329</v>
      </c>
      <c r="G31" s="3">
        <f t="shared" si="2"/>
        <v>-5.6872858139357163E-2</v>
      </c>
    </row>
    <row r="32" spans="1:8" x14ac:dyDescent="0.25">
      <c r="A32" t="s">
        <v>968</v>
      </c>
      <c r="B32">
        <v>117.58</v>
      </c>
      <c r="C32">
        <f t="shared" si="3"/>
        <v>0.66780821917808986</v>
      </c>
      <c r="D32">
        <v>2.2999999999999998</v>
      </c>
      <c r="E32">
        <f t="shared" si="1"/>
        <v>4.7671189529741085</v>
      </c>
      <c r="F32">
        <v>4.8201305309981421</v>
      </c>
      <c r="G32" s="3">
        <f t="shared" si="2"/>
        <v>-5.3011578024033668E-2</v>
      </c>
    </row>
    <row r="33" spans="1:7" x14ac:dyDescent="0.25">
      <c r="A33" t="s">
        <v>969</v>
      </c>
      <c r="B33">
        <v>118.81</v>
      </c>
      <c r="C33">
        <f t="shared" si="3"/>
        <v>0.68644067796610475</v>
      </c>
      <c r="D33">
        <v>1.1000000000000001</v>
      </c>
      <c r="E33">
        <f t="shared" si="1"/>
        <v>4.777525578470196</v>
      </c>
      <c r="F33">
        <v>4.8256686194085514</v>
      </c>
      <c r="G33" s="3">
        <f t="shared" si="2"/>
        <v>-4.8143040938355419E-2</v>
      </c>
    </row>
    <row r="34" spans="1:7" x14ac:dyDescent="0.25">
      <c r="A34" t="s">
        <v>970</v>
      </c>
      <c r="B34">
        <v>120.44</v>
      </c>
      <c r="C34">
        <f t="shared" si="3"/>
        <v>2.5283050991742551</v>
      </c>
      <c r="D34">
        <v>1.4</v>
      </c>
      <c r="E34">
        <f t="shared" si="1"/>
        <v>4.7911517036135329</v>
      </c>
      <c r="F34">
        <v>4.8312067078189616</v>
      </c>
      <c r="G34" s="3">
        <f t="shared" si="2"/>
        <v>-4.0055004205428624E-2</v>
      </c>
    </row>
    <row r="35" spans="1:7" x14ac:dyDescent="0.25">
      <c r="A35" t="s">
        <v>971</v>
      </c>
      <c r="B35">
        <v>123.76</v>
      </c>
      <c r="C35">
        <f t="shared" si="3"/>
        <v>6.25</v>
      </c>
      <c r="D35">
        <v>2.8</v>
      </c>
      <c r="E35">
        <f t="shared" si="1"/>
        <v>4.8183442062648103</v>
      </c>
      <c r="F35">
        <v>4.8367447962293708</v>
      </c>
      <c r="G35" s="3">
        <f t="shared" si="2"/>
        <v>-1.840058996456051E-2</v>
      </c>
    </row>
    <row r="36" spans="1:7" x14ac:dyDescent="0.25">
      <c r="A36" t="s">
        <v>972</v>
      </c>
      <c r="B36">
        <v>125.34</v>
      </c>
      <c r="C36">
        <f t="shared" si="3"/>
        <v>6.5997618642626321</v>
      </c>
      <c r="D36">
        <v>4.3</v>
      </c>
      <c r="E36">
        <f t="shared" si="1"/>
        <v>4.8310300447965293</v>
      </c>
      <c r="F36">
        <v>4.842282884639781</v>
      </c>
      <c r="G36" s="3">
        <f t="shared" si="2"/>
        <v>-1.125283984325165E-2</v>
      </c>
    </row>
    <row r="37" spans="1:7" x14ac:dyDescent="0.25">
      <c r="A37" t="s">
        <v>973</v>
      </c>
      <c r="B37">
        <v>126.3</v>
      </c>
      <c r="C37">
        <f t="shared" si="3"/>
        <v>6.3041831495665335</v>
      </c>
      <c r="D37">
        <v>5.8</v>
      </c>
      <c r="E37">
        <f t="shared" si="1"/>
        <v>4.8386600293564452</v>
      </c>
      <c r="F37">
        <v>4.8478209730501902</v>
      </c>
      <c r="G37" s="3">
        <f t="shared" si="2"/>
        <v>-9.1609436937449829E-3</v>
      </c>
    </row>
    <row r="38" spans="1:7" x14ac:dyDescent="0.25">
      <c r="A38" t="s">
        <v>974</v>
      </c>
      <c r="B38">
        <v>127.42</v>
      </c>
      <c r="C38">
        <f t="shared" si="3"/>
        <v>5.7954168050481591</v>
      </c>
      <c r="D38">
        <v>5.8</v>
      </c>
      <c r="E38">
        <f t="shared" si="1"/>
        <v>4.8474887166883418</v>
      </c>
      <c r="F38">
        <v>4.8533590614605995</v>
      </c>
      <c r="G38" s="3">
        <f t="shared" si="2"/>
        <v>-5.870344772257674E-3</v>
      </c>
    </row>
    <row r="39" spans="1:7" x14ac:dyDescent="0.25">
      <c r="A39" t="s">
        <v>975</v>
      </c>
      <c r="B39">
        <v>128.74</v>
      </c>
      <c r="C39">
        <f t="shared" si="3"/>
        <v>4.0239172592113848</v>
      </c>
      <c r="D39">
        <v>5.4</v>
      </c>
      <c r="E39">
        <f t="shared" si="1"/>
        <v>4.8577948666244701</v>
      </c>
      <c r="F39">
        <v>4.8588971498710096</v>
      </c>
      <c r="G39" s="3">
        <f t="shared" si="2"/>
        <v>-1.1022832465394927E-3</v>
      </c>
    </row>
    <row r="40" spans="1:7" x14ac:dyDescent="0.25">
      <c r="A40" t="s">
        <v>976</v>
      </c>
      <c r="B40">
        <v>128.02000000000001</v>
      </c>
      <c r="C40">
        <f t="shared" si="3"/>
        <v>2.1381841391415302</v>
      </c>
      <c r="D40">
        <v>4.2</v>
      </c>
      <c r="E40">
        <f t="shared" si="1"/>
        <v>4.8521865017138577</v>
      </c>
      <c r="F40">
        <v>4.8644352382814189</v>
      </c>
      <c r="G40" s="3">
        <f t="shared" si="2"/>
        <v>-1.2248736567561203E-2</v>
      </c>
    </row>
    <row r="41" spans="1:7" x14ac:dyDescent="0.25">
      <c r="A41" t="s">
        <v>977</v>
      </c>
      <c r="B41">
        <v>129.63999999999999</v>
      </c>
      <c r="C41">
        <f t="shared" si="3"/>
        <v>2.6444972288202528</v>
      </c>
      <c r="D41">
        <v>3.2</v>
      </c>
      <c r="E41">
        <f t="shared" si="1"/>
        <v>4.8647613782733465</v>
      </c>
      <c r="F41">
        <v>4.869973326691829</v>
      </c>
      <c r="G41" s="3">
        <f t="shared" si="2"/>
        <v>-5.2119484184824927E-3</v>
      </c>
    </row>
    <row r="42" spans="1:7" x14ac:dyDescent="0.25">
      <c r="A42" t="s">
        <v>978</v>
      </c>
      <c r="B42">
        <v>131.75</v>
      </c>
      <c r="C42">
        <f t="shared" si="3"/>
        <v>3.3982106419714331</v>
      </c>
      <c r="D42">
        <v>3.2</v>
      </c>
      <c r="E42">
        <f t="shared" si="1"/>
        <v>4.8809061874214716</v>
      </c>
      <c r="F42">
        <v>4.8755114151022383</v>
      </c>
      <c r="G42" s="3">
        <f t="shared" si="2"/>
        <v>5.3947723192333541E-3</v>
      </c>
    </row>
    <row r="43" spans="1:7" x14ac:dyDescent="0.25">
      <c r="A43" t="s">
        <v>979</v>
      </c>
      <c r="B43">
        <v>132.13999999999999</v>
      </c>
      <c r="C43">
        <f t="shared" si="3"/>
        <v>2.6409818238309679</v>
      </c>
      <c r="D43">
        <v>2.7</v>
      </c>
      <c r="E43">
        <f t="shared" si="1"/>
        <v>4.8838619666017395</v>
      </c>
      <c r="F43">
        <v>4.8810495035126475</v>
      </c>
      <c r="G43" s="3">
        <f t="shared" si="2"/>
        <v>2.8124630890919988E-3</v>
      </c>
    </row>
    <row r="44" spans="1:7" x14ac:dyDescent="0.25">
      <c r="A44" t="s">
        <v>980</v>
      </c>
      <c r="B44">
        <v>134.35</v>
      </c>
      <c r="C44">
        <f t="shared" si="3"/>
        <v>4.9445399156381686</v>
      </c>
      <c r="D44">
        <v>3.3</v>
      </c>
      <c r="E44">
        <f t="shared" si="1"/>
        <v>4.9004483350615002</v>
      </c>
      <c r="F44">
        <v>4.8865875919230577</v>
      </c>
      <c r="G44" s="3">
        <f t="shared" si="2"/>
        <v>1.3860743138442544E-2</v>
      </c>
    </row>
    <row r="45" spans="1:7" x14ac:dyDescent="0.25">
      <c r="A45" t="s">
        <v>981</v>
      </c>
      <c r="B45">
        <v>135.91999999999999</v>
      </c>
      <c r="C45">
        <f t="shared" si="3"/>
        <v>4.8441838938599213</v>
      </c>
      <c r="D45">
        <v>4</v>
      </c>
      <c r="E45">
        <f t="shared" si="1"/>
        <v>4.9120664773636769</v>
      </c>
      <c r="F45">
        <v>4.892125680333467</v>
      </c>
      <c r="G45" s="3">
        <f t="shared" si="2"/>
        <v>1.99407970302099E-2</v>
      </c>
    </row>
    <row r="46" spans="1:7" x14ac:dyDescent="0.25">
      <c r="A46" t="s">
        <v>982</v>
      </c>
      <c r="B46">
        <v>138.49</v>
      </c>
      <c r="C46">
        <f t="shared" si="3"/>
        <v>5.1157495256167085</v>
      </c>
      <c r="D46">
        <v>4.2</v>
      </c>
      <c r="E46">
        <f t="shared" si="1"/>
        <v>4.9307981208546261</v>
      </c>
      <c r="F46">
        <v>4.8976637687438762</v>
      </c>
      <c r="G46" s="3">
        <f t="shared" si="2"/>
        <v>3.3134352110749887E-2</v>
      </c>
    </row>
    <row r="47" spans="1:7" x14ac:dyDescent="0.25">
      <c r="A47" t="s">
        <v>983</v>
      </c>
      <c r="B47">
        <v>140.80000000000001</v>
      </c>
      <c r="C47">
        <f t="shared" si="3"/>
        <v>6.5536552141668203</v>
      </c>
      <c r="D47">
        <v>5.3</v>
      </c>
      <c r="E47">
        <f t="shared" si="1"/>
        <v>4.9473404437239425</v>
      </c>
      <c r="F47">
        <v>4.9032018571542864</v>
      </c>
      <c r="G47" s="3">
        <f t="shared" si="2"/>
        <v>4.4138586569656191E-2</v>
      </c>
    </row>
    <row r="48" spans="1:7" x14ac:dyDescent="0.25">
      <c r="A48" t="s">
        <v>984</v>
      </c>
      <c r="B48">
        <v>142.26</v>
      </c>
      <c r="C48">
        <f t="shared" si="3"/>
        <v>5.8876069966505407</v>
      </c>
      <c r="D48">
        <v>5.6</v>
      </c>
      <c r="E48">
        <f t="shared" si="1"/>
        <v>4.9576563693053695</v>
      </c>
      <c r="F48">
        <v>4.9087399455646956</v>
      </c>
      <c r="G48" s="3">
        <f t="shared" si="2"/>
        <v>4.8916423740673842E-2</v>
      </c>
    </row>
    <row r="49" spans="1:7" x14ac:dyDescent="0.25">
      <c r="A49" t="s">
        <v>985</v>
      </c>
      <c r="B49">
        <v>144.41999999999999</v>
      </c>
      <c r="C49">
        <f t="shared" si="3"/>
        <v>6.2536786344908668</v>
      </c>
      <c r="D49">
        <v>6.1</v>
      </c>
      <c r="E49">
        <f t="shared" si="1"/>
        <v>4.9727257210230356</v>
      </c>
      <c r="F49">
        <v>4.9142780339751058</v>
      </c>
      <c r="G49" s="3">
        <f t="shared" si="2"/>
        <v>5.8447687047929797E-2</v>
      </c>
    </row>
    <row r="50" spans="1:7" x14ac:dyDescent="0.25">
      <c r="A50" t="s">
        <v>986</v>
      </c>
      <c r="B50">
        <v>146.26</v>
      </c>
      <c r="C50">
        <f t="shared" si="3"/>
        <v>5.6105133944688967</v>
      </c>
      <c r="D50">
        <v>6.3</v>
      </c>
      <c r="E50">
        <f t="shared" si="1"/>
        <v>4.9853858598428049</v>
      </c>
      <c r="F50">
        <v>4.919816122385515</v>
      </c>
      <c r="G50" s="3">
        <f t="shared" si="2"/>
        <v>6.5569737457289889E-2</v>
      </c>
    </row>
    <row r="51" spans="1:7" x14ac:dyDescent="0.25">
      <c r="A51" t="s">
        <v>987</v>
      </c>
      <c r="B51">
        <v>149.18</v>
      </c>
      <c r="C51">
        <f t="shared" si="3"/>
        <v>5.9517045454545503</v>
      </c>
      <c r="D51">
        <v>6.3</v>
      </c>
      <c r="E51">
        <f t="shared" si="1"/>
        <v>5.0051536305270172</v>
      </c>
      <c r="F51">
        <v>4.9253542107959243</v>
      </c>
      <c r="G51" s="3">
        <f t="shared" si="2"/>
        <v>7.9799419731092947E-2</v>
      </c>
    </row>
    <row r="52" spans="1:7" x14ac:dyDescent="0.25">
      <c r="A52" t="s">
        <v>988</v>
      </c>
      <c r="B52">
        <v>151.63999999999999</v>
      </c>
      <c r="C52">
        <f t="shared" si="3"/>
        <v>6.5935610853367077</v>
      </c>
      <c r="D52">
        <v>6.5</v>
      </c>
      <c r="E52">
        <f t="shared" si="1"/>
        <v>5.021509290648134</v>
      </c>
      <c r="F52">
        <v>4.9308922992063344</v>
      </c>
      <c r="G52" s="3">
        <f t="shared" si="2"/>
        <v>9.0616991441799577E-2</v>
      </c>
    </row>
    <row r="53" spans="1:7" x14ac:dyDescent="0.25">
      <c r="A53" t="s">
        <v>989</v>
      </c>
      <c r="B53">
        <v>145.91999999999999</v>
      </c>
      <c r="C53">
        <f t="shared" si="3"/>
        <v>1.0386373078520972</v>
      </c>
      <c r="D53">
        <v>5.0999999999999996</v>
      </c>
      <c r="E53">
        <f t="shared" si="1"/>
        <v>4.9830585263260208</v>
      </c>
      <c r="F53">
        <v>4.9364303876167437</v>
      </c>
      <c r="G53" s="3">
        <f t="shared" si="2"/>
        <v>4.6628138709277067E-2</v>
      </c>
    </row>
    <row r="54" spans="1:7" x14ac:dyDescent="0.25">
      <c r="A54" t="s">
        <v>990</v>
      </c>
      <c r="B54">
        <v>143.82</v>
      </c>
      <c r="C54">
        <f t="shared" si="3"/>
        <v>-1.6682619991795433</v>
      </c>
      <c r="D54">
        <v>3</v>
      </c>
      <c r="E54">
        <f t="shared" si="1"/>
        <v>4.9685625176743482</v>
      </c>
      <c r="F54">
        <v>4.9419684760271538</v>
      </c>
      <c r="G54" s="3">
        <f t="shared" si="2"/>
        <v>2.6594041647194366E-2</v>
      </c>
    </row>
    <row r="55" spans="1:7" x14ac:dyDescent="0.25">
      <c r="A55" t="s">
        <v>991</v>
      </c>
      <c r="B55">
        <v>146.47999999999999</v>
      </c>
      <c r="C55">
        <f t="shared" si="3"/>
        <v>-1.8098940876793201</v>
      </c>
      <c r="D55">
        <v>0.8</v>
      </c>
      <c r="E55">
        <f t="shared" si="1"/>
        <v>4.9868889003662549</v>
      </c>
      <c r="F55">
        <v>4.9475065644375631</v>
      </c>
      <c r="G55" s="3">
        <f t="shared" si="2"/>
        <v>3.9382335928691781E-2</v>
      </c>
    </row>
    <row r="56" spans="1:7" x14ac:dyDescent="0.25">
      <c r="A56" t="s">
        <v>992</v>
      </c>
      <c r="B56">
        <v>149.9</v>
      </c>
      <c r="C56">
        <f t="shared" si="3"/>
        <v>-1.1474544974940493</v>
      </c>
      <c r="D56">
        <v>-1.2</v>
      </c>
      <c r="E56">
        <f t="shared" si="1"/>
        <v>5.0099684051085518</v>
      </c>
      <c r="F56">
        <v>4.9530446528479724</v>
      </c>
      <c r="G56" s="3">
        <f t="shared" si="2"/>
        <v>5.6923752260579441E-2</v>
      </c>
    </row>
    <row r="57" spans="1:7" x14ac:dyDescent="0.25">
      <c r="A57" t="s">
        <v>993</v>
      </c>
      <c r="B57">
        <v>153.77000000000001</v>
      </c>
      <c r="C57">
        <f t="shared" si="3"/>
        <v>5.3796600877193068</v>
      </c>
      <c r="D57">
        <v>-0.1</v>
      </c>
      <c r="E57">
        <f t="shared" si="1"/>
        <v>5.0354579795276013</v>
      </c>
      <c r="F57">
        <v>4.9585827412583825</v>
      </c>
      <c r="G57" s="3">
        <f t="shared" si="2"/>
        <v>7.6875238269218826E-2</v>
      </c>
    </row>
    <row r="58" spans="1:7" x14ac:dyDescent="0.25">
      <c r="A58" t="s">
        <v>994</v>
      </c>
      <c r="B58">
        <v>156.93</v>
      </c>
      <c r="C58">
        <f t="shared" si="3"/>
        <v>9.1155611180642637</v>
      </c>
      <c r="D58">
        <v>2.6</v>
      </c>
      <c r="E58">
        <f t="shared" si="1"/>
        <v>5.055799846050629</v>
      </c>
      <c r="F58">
        <v>4.9641208296687918</v>
      </c>
      <c r="G58" s="3">
        <f t="shared" si="2"/>
        <v>9.1679016381837286E-2</v>
      </c>
    </row>
    <row r="59" spans="1:7" x14ac:dyDescent="0.25">
      <c r="A59" t="s">
        <v>995</v>
      </c>
      <c r="B59">
        <v>158.94</v>
      </c>
      <c r="C59">
        <f t="shared" si="3"/>
        <v>8.5062807209175482</v>
      </c>
      <c r="D59">
        <v>5.3</v>
      </c>
      <c r="E59">
        <f t="shared" si="1"/>
        <v>5.0685267725120333</v>
      </c>
      <c r="F59">
        <v>4.969658918079201</v>
      </c>
      <c r="G59" s="3">
        <f t="shared" si="2"/>
        <v>9.8867854432832303E-2</v>
      </c>
    </row>
    <row r="60" spans="1:7" x14ac:dyDescent="0.25">
      <c r="A60" t="s">
        <v>996</v>
      </c>
      <c r="B60">
        <v>160.34</v>
      </c>
      <c r="C60">
        <f t="shared" si="3"/>
        <v>6.9646430953969274</v>
      </c>
      <c r="D60">
        <v>7.5</v>
      </c>
      <c r="E60">
        <f t="shared" si="1"/>
        <v>5.0772965606148057</v>
      </c>
      <c r="F60">
        <v>4.9751970064896112</v>
      </c>
      <c r="G60" s="3">
        <f t="shared" si="2"/>
        <v>0.10209955412519456</v>
      </c>
    </row>
    <row r="61" spans="1:7" x14ac:dyDescent="0.25">
      <c r="A61" t="s">
        <v>997</v>
      </c>
      <c r="B61">
        <v>162.63</v>
      </c>
      <c r="C61">
        <f t="shared" si="3"/>
        <v>5.7618521167978054</v>
      </c>
      <c r="D61">
        <v>7.5</v>
      </c>
      <c r="E61">
        <f t="shared" si="1"/>
        <v>5.0914776819403569</v>
      </c>
      <c r="F61">
        <v>4.9807350949000204</v>
      </c>
      <c r="G61" s="3">
        <f t="shared" si="2"/>
        <v>0.11074258704033646</v>
      </c>
    </row>
    <row r="62" spans="1:7" x14ac:dyDescent="0.25">
      <c r="A62" t="s">
        <v>998</v>
      </c>
      <c r="B62">
        <v>164.8</v>
      </c>
      <c r="C62">
        <f t="shared" si="3"/>
        <v>5.0149748295418295</v>
      </c>
      <c r="D62">
        <v>6.6</v>
      </c>
      <c r="E62">
        <f t="shared" si="1"/>
        <v>5.1047326174753715</v>
      </c>
      <c r="F62">
        <v>4.9862731833104306</v>
      </c>
      <c r="G62" s="3">
        <f t="shared" si="2"/>
        <v>0.11845943416494098</v>
      </c>
    </row>
    <row r="63" spans="1:7" x14ac:dyDescent="0.25">
      <c r="A63" t="s">
        <v>999</v>
      </c>
      <c r="B63">
        <v>166.48</v>
      </c>
      <c r="C63">
        <f t="shared" si="3"/>
        <v>4.7439285264879727</v>
      </c>
      <c r="D63">
        <v>5.6</v>
      </c>
      <c r="E63">
        <f t="shared" si="1"/>
        <v>5.1148751820853793</v>
      </c>
      <c r="F63">
        <v>4.9918112717208398</v>
      </c>
      <c r="G63" s="3">
        <f t="shared" si="2"/>
        <v>0.12306391036453945</v>
      </c>
    </row>
    <row r="64" spans="1:7" x14ac:dyDescent="0.25">
      <c r="A64" t="s">
        <v>1000</v>
      </c>
      <c r="B64">
        <v>166.11</v>
      </c>
      <c r="C64">
        <f t="shared" si="3"/>
        <v>3.5986029686915444</v>
      </c>
      <c r="D64">
        <v>4.8</v>
      </c>
      <c r="E64">
        <f t="shared" si="1"/>
        <v>5.1126502195029859</v>
      </c>
      <c r="F64">
        <v>4.9973493601312491</v>
      </c>
      <c r="G64" s="3">
        <f t="shared" si="2"/>
        <v>0.11530085937173684</v>
      </c>
    </row>
    <row r="65" spans="1:7" x14ac:dyDescent="0.25">
      <c r="A65" t="s">
        <v>1001</v>
      </c>
      <c r="B65">
        <v>167.61</v>
      </c>
      <c r="C65">
        <f t="shared" si="3"/>
        <v>3.0621656520937179</v>
      </c>
      <c r="D65">
        <v>4</v>
      </c>
      <c r="E65">
        <f t="shared" si="1"/>
        <v>5.1216398521391673</v>
      </c>
      <c r="F65">
        <v>5.0028874485416592</v>
      </c>
      <c r="G65" s="3">
        <f t="shared" si="2"/>
        <v>0.11875240359750805</v>
      </c>
    </row>
    <row r="66" spans="1:7" x14ac:dyDescent="0.25">
      <c r="A66" t="s">
        <v>1002</v>
      </c>
      <c r="B66">
        <v>165.23</v>
      </c>
      <c r="C66">
        <f t="shared" si="3"/>
        <v>0.26092233009706867</v>
      </c>
      <c r="D66">
        <v>3.1</v>
      </c>
      <c r="E66">
        <f t="shared" si="1"/>
        <v>5.1073384426628996</v>
      </c>
      <c r="F66">
        <v>5.0084255369520685</v>
      </c>
      <c r="G66" s="3">
        <f t="shared" si="2"/>
        <v>9.8912905710831112E-2</v>
      </c>
    </row>
    <row r="67" spans="1:7" x14ac:dyDescent="0.25">
      <c r="A67" t="s">
        <v>1003</v>
      </c>
      <c r="B67">
        <v>168.22</v>
      </c>
      <c r="C67">
        <f t="shared" si="3"/>
        <v>1.0451705910619946</v>
      </c>
      <c r="D67">
        <v>2.2000000000000002</v>
      </c>
      <c r="E67">
        <f t="shared" ref="E67:E123" si="4">LN(B67)</f>
        <v>5.1252726465342908</v>
      </c>
      <c r="F67">
        <v>5.0139636253624786</v>
      </c>
      <c r="G67" s="3">
        <f t="shared" ref="G67:G123" si="5">E67-F67</f>
        <v>0.11130902117181218</v>
      </c>
    </row>
    <row r="68" spans="1:7" x14ac:dyDescent="0.25">
      <c r="A68" t="s">
        <v>1004</v>
      </c>
      <c r="B68">
        <v>171.1</v>
      </c>
      <c r="C68">
        <f t="shared" si="3"/>
        <v>3.0040334717957862</v>
      </c>
      <c r="D68">
        <v>1.9</v>
      </c>
      <c r="E68">
        <f t="shared" si="4"/>
        <v>5.1422481808981475</v>
      </c>
      <c r="F68">
        <v>5.0195017137728879</v>
      </c>
      <c r="G68" s="3">
        <f t="shared" si="5"/>
        <v>0.12274646712525961</v>
      </c>
    </row>
    <row r="69" spans="1:7" x14ac:dyDescent="0.25">
      <c r="A69" t="s">
        <v>1005</v>
      </c>
      <c r="B69">
        <v>171.16</v>
      </c>
      <c r="C69">
        <f t="shared" si="3"/>
        <v>2.1180120517868772</v>
      </c>
      <c r="D69">
        <v>1.9</v>
      </c>
      <c r="E69">
        <f t="shared" si="4"/>
        <v>5.1425987915486164</v>
      </c>
      <c r="F69">
        <v>5.0250398021832972</v>
      </c>
      <c r="G69" s="3">
        <f t="shared" si="5"/>
        <v>0.11755898936531928</v>
      </c>
    </row>
    <row r="70" spans="1:7" x14ac:dyDescent="0.25">
      <c r="A70" t="s">
        <v>1006</v>
      </c>
      <c r="B70">
        <v>172.09</v>
      </c>
      <c r="C70">
        <f t="shared" ref="C70:C121" si="6">(B70/B66-1)*100</f>
        <v>4.1517884161472063</v>
      </c>
      <c r="D70">
        <v>2.2000000000000002</v>
      </c>
      <c r="E70">
        <f t="shared" si="4"/>
        <v>5.1480175957768193</v>
      </c>
      <c r="F70">
        <v>5.0305778905937073</v>
      </c>
      <c r="G70" s="3">
        <f t="shared" si="5"/>
        <v>0.11743970518311198</v>
      </c>
    </row>
    <row r="71" spans="1:7" x14ac:dyDescent="0.25">
      <c r="A71" t="s">
        <v>1007</v>
      </c>
      <c r="B71">
        <v>174.44</v>
      </c>
      <c r="C71">
        <f t="shared" si="6"/>
        <v>3.6975389371061596</v>
      </c>
      <c r="D71">
        <v>2.9</v>
      </c>
      <c r="E71">
        <f t="shared" si="4"/>
        <v>5.1615808429745655</v>
      </c>
      <c r="F71">
        <v>5.0361159790041166</v>
      </c>
      <c r="G71" s="3">
        <f t="shared" si="5"/>
        <v>0.12546486397044898</v>
      </c>
    </row>
    <row r="72" spans="1:7" x14ac:dyDescent="0.25">
      <c r="A72" t="s">
        <v>1008</v>
      </c>
      <c r="B72">
        <v>175.28</v>
      </c>
      <c r="C72">
        <f t="shared" si="6"/>
        <v>2.4430157802454833</v>
      </c>
      <c r="D72">
        <v>3</v>
      </c>
      <c r="E72">
        <f t="shared" si="4"/>
        <v>5.1663846952872108</v>
      </c>
      <c r="F72">
        <v>5.0416540674145267</v>
      </c>
      <c r="G72" s="3">
        <f t="shared" si="5"/>
        <v>0.12473062787268407</v>
      </c>
    </row>
    <row r="73" spans="1:7" x14ac:dyDescent="0.25">
      <c r="A73" t="s">
        <v>1009</v>
      </c>
      <c r="B73">
        <v>175.56</v>
      </c>
      <c r="C73">
        <f t="shared" si="6"/>
        <v>2.5706940874036022</v>
      </c>
      <c r="D73">
        <v>3</v>
      </c>
      <c r="E73">
        <f t="shared" si="4"/>
        <v>5.1679808648200334</v>
      </c>
      <c r="F73">
        <v>5.047192155824936</v>
      </c>
      <c r="G73" s="3">
        <f t="shared" si="5"/>
        <v>0.12078870899509742</v>
      </c>
    </row>
    <row r="74" spans="1:7" x14ac:dyDescent="0.25">
      <c r="A74" t="s">
        <v>1010</v>
      </c>
      <c r="B74">
        <v>177.03</v>
      </c>
      <c r="C74">
        <f t="shared" si="6"/>
        <v>2.870590969841369</v>
      </c>
      <c r="D74">
        <v>3.2</v>
      </c>
      <c r="E74">
        <f t="shared" si="4"/>
        <v>5.1763192097371871</v>
      </c>
      <c r="F74">
        <v>5.0527302442353452</v>
      </c>
      <c r="G74" s="3">
        <f t="shared" si="5"/>
        <v>0.12358896550184184</v>
      </c>
    </row>
    <row r="75" spans="1:7" x14ac:dyDescent="0.25">
      <c r="A75" t="s">
        <v>1011</v>
      </c>
      <c r="B75">
        <v>174.43</v>
      </c>
      <c r="C75">
        <f t="shared" si="6"/>
        <v>-5.7326301306948046E-3</v>
      </c>
      <c r="D75">
        <v>2.1</v>
      </c>
      <c r="E75">
        <f t="shared" si="4"/>
        <v>5.1615235150300434</v>
      </c>
      <c r="F75">
        <v>5.0582683326457554</v>
      </c>
      <c r="G75" s="3">
        <f t="shared" si="5"/>
        <v>0.10325518238428799</v>
      </c>
    </row>
    <row r="76" spans="1:7" x14ac:dyDescent="0.25">
      <c r="A76" t="s">
        <v>1012</v>
      </c>
      <c r="B76">
        <v>174.33</v>
      </c>
      <c r="C76">
        <f t="shared" si="6"/>
        <v>-0.54198995892286161</v>
      </c>
      <c r="D76">
        <v>1.2</v>
      </c>
      <c r="E76">
        <f t="shared" si="4"/>
        <v>5.1609500547551237</v>
      </c>
      <c r="F76">
        <v>5.0638064210561646</v>
      </c>
      <c r="G76" s="3">
        <f t="shared" si="5"/>
        <v>9.7143633698959064E-2</v>
      </c>
    </row>
    <row r="77" spans="1:7" x14ac:dyDescent="0.25">
      <c r="A77" t="s">
        <v>1013</v>
      </c>
      <c r="B77">
        <v>175.24</v>
      </c>
      <c r="C77">
        <f t="shared" si="6"/>
        <v>-0.18227386648438371</v>
      </c>
      <c r="D77">
        <v>0.5</v>
      </c>
      <c r="E77">
        <f t="shared" si="4"/>
        <v>5.1661564629456977</v>
      </c>
      <c r="F77">
        <v>5.0693445094665739</v>
      </c>
      <c r="G77" s="3">
        <f t="shared" si="5"/>
        <v>9.6811953479123858E-2</v>
      </c>
    </row>
    <row r="78" spans="1:7" x14ac:dyDescent="0.25">
      <c r="A78" t="s">
        <v>1014</v>
      </c>
      <c r="B78">
        <v>173.84</v>
      </c>
      <c r="C78">
        <f t="shared" si="6"/>
        <v>-1.8019544709936164</v>
      </c>
      <c r="D78">
        <v>-0.7</v>
      </c>
      <c r="E78">
        <f t="shared" si="4"/>
        <v>5.1581353359481739</v>
      </c>
      <c r="F78">
        <v>5.074882597876984</v>
      </c>
      <c r="G78" s="3">
        <f t="shared" si="5"/>
        <v>8.3252738071189825E-2</v>
      </c>
    </row>
    <row r="79" spans="1:7" x14ac:dyDescent="0.25">
      <c r="A79" t="s">
        <v>1015</v>
      </c>
      <c r="B79">
        <v>169.76</v>
      </c>
      <c r="C79">
        <f t="shared" si="6"/>
        <v>-2.6772917502723259</v>
      </c>
      <c r="D79">
        <v>-1.3</v>
      </c>
      <c r="E79">
        <f t="shared" si="4"/>
        <v>5.1343856748656727</v>
      </c>
      <c r="F79">
        <v>5.0804206862873933</v>
      </c>
      <c r="G79" s="3">
        <f t="shared" si="5"/>
        <v>5.396498857827936E-2</v>
      </c>
    </row>
    <row r="80" spans="1:7" x14ac:dyDescent="0.25">
      <c r="A80" t="s">
        <v>1016</v>
      </c>
      <c r="B80">
        <v>166.96</v>
      </c>
      <c r="C80">
        <f t="shared" si="6"/>
        <v>-4.2276142947283883</v>
      </c>
      <c r="D80">
        <v>-2.2000000000000002</v>
      </c>
      <c r="E80">
        <f t="shared" si="4"/>
        <v>5.117754262768945</v>
      </c>
      <c r="F80">
        <v>5.0859587746978034</v>
      </c>
      <c r="G80" s="3">
        <f t="shared" si="5"/>
        <v>3.179548807114152E-2</v>
      </c>
    </row>
    <row r="81" spans="1:7" x14ac:dyDescent="0.25">
      <c r="A81" t="s">
        <v>1017</v>
      </c>
      <c r="B81">
        <v>165.68</v>
      </c>
      <c r="C81">
        <f t="shared" si="6"/>
        <v>-5.4553754850490748</v>
      </c>
      <c r="D81">
        <v>-3.5</v>
      </c>
      <c r="E81">
        <f t="shared" si="4"/>
        <v>5.110058217087329</v>
      </c>
      <c r="F81">
        <v>5.0914968631082127</v>
      </c>
      <c r="G81" s="3">
        <f t="shared" si="5"/>
        <v>1.8561353979116291E-2</v>
      </c>
    </row>
    <row r="82" spans="1:7" x14ac:dyDescent="0.25">
      <c r="A82" t="s">
        <v>1018</v>
      </c>
      <c r="B82">
        <v>163.31</v>
      </c>
      <c r="C82">
        <f t="shared" si="6"/>
        <v>-6.057294063506669</v>
      </c>
      <c r="D82">
        <v>-4.4000000000000004</v>
      </c>
      <c r="E82">
        <f t="shared" si="4"/>
        <v>5.0956502350886517</v>
      </c>
      <c r="F82">
        <v>5.097034951518622</v>
      </c>
      <c r="G82" s="3">
        <f t="shared" si="5"/>
        <v>-1.3847164299702897E-3</v>
      </c>
    </row>
    <row r="83" spans="1:7" x14ac:dyDescent="0.25">
      <c r="A83" t="s">
        <v>1019</v>
      </c>
      <c r="B83">
        <v>163.74</v>
      </c>
      <c r="C83">
        <f t="shared" si="6"/>
        <v>-3.5461828463713374</v>
      </c>
      <c r="D83">
        <v>-4.5</v>
      </c>
      <c r="E83">
        <f t="shared" si="4"/>
        <v>5.0982798039483024</v>
      </c>
      <c r="F83">
        <v>5.1025730399290321</v>
      </c>
      <c r="G83" s="3">
        <f t="shared" si="5"/>
        <v>-4.293235980729726E-3</v>
      </c>
    </row>
    <row r="84" spans="1:7" x14ac:dyDescent="0.25">
      <c r="A84" t="s">
        <v>1020</v>
      </c>
      <c r="B84">
        <v>162.87</v>
      </c>
      <c r="C84">
        <f t="shared" si="6"/>
        <v>-2.4496885481552488</v>
      </c>
      <c r="D84">
        <v>-4.0999999999999996</v>
      </c>
      <c r="E84">
        <f t="shared" si="4"/>
        <v>5.0929523365854692</v>
      </c>
      <c r="F84">
        <v>5.1081111283394414</v>
      </c>
      <c r="G84" s="3">
        <f t="shared" si="5"/>
        <v>-1.5158791753972167E-2</v>
      </c>
    </row>
    <row r="85" spans="1:7" x14ac:dyDescent="0.25">
      <c r="A85" t="s">
        <v>1021</v>
      </c>
      <c r="B85">
        <v>162.68</v>
      </c>
      <c r="C85">
        <f t="shared" si="6"/>
        <v>-1.810719459198451</v>
      </c>
      <c r="D85">
        <v>-3.3</v>
      </c>
      <c r="E85">
        <f t="shared" si="4"/>
        <v>5.0917850810390242</v>
      </c>
      <c r="F85">
        <v>5.1136492167498515</v>
      </c>
      <c r="G85" s="3">
        <f t="shared" si="5"/>
        <v>-2.1864135710827348E-2</v>
      </c>
    </row>
    <row r="86" spans="1:7" x14ac:dyDescent="0.25">
      <c r="A86" t="s">
        <v>1022</v>
      </c>
      <c r="B86">
        <v>164.36</v>
      </c>
      <c r="C86">
        <f t="shared" si="6"/>
        <v>0.64294899271324368</v>
      </c>
      <c r="D86">
        <v>-1.9</v>
      </c>
      <c r="E86">
        <f t="shared" si="4"/>
        <v>5.1020591440152092</v>
      </c>
      <c r="F86">
        <v>5.1191873051602608</v>
      </c>
      <c r="G86" s="3">
        <f t="shared" si="5"/>
        <v>-1.7128161145051557E-2</v>
      </c>
    </row>
    <row r="87" spans="1:7" x14ac:dyDescent="0.25">
      <c r="A87" t="s">
        <v>1023</v>
      </c>
      <c r="B87">
        <v>165.74</v>
      </c>
      <c r="C87">
        <f t="shared" si="6"/>
        <v>1.2214486380847767</v>
      </c>
      <c r="D87">
        <v>-0.9</v>
      </c>
      <c r="E87">
        <f t="shared" si="4"/>
        <v>5.1104202954208962</v>
      </c>
      <c r="F87">
        <v>5.12472539357067</v>
      </c>
      <c r="G87" s="3">
        <f t="shared" si="5"/>
        <v>-1.4305098149773876E-2</v>
      </c>
    </row>
    <row r="88" spans="1:7" x14ac:dyDescent="0.25">
      <c r="A88" t="s">
        <v>1024</v>
      </c>
      <c r="B88">
        <v>166.1</v>
      </c>
      <c r="C88">
        <f t="shared" si="6"/>
        <v>1.9831767667464861</v>
      </c>
      <c r="D88">
        <v>0.1</v>
      </c>
      <c r="E88">
        <f t="shared" si="4"/>
        <v>5.1125900166192491</v>
      </c>
      <c r="F88">
        <v>5.1302634819810802</v>
      </c>
      <c r="G88" s="3">
        <f t="shared" si="5"/>
        <v>-1.767346536183112E-2</v>
      </c>
    </row>
    <row r="89" spans="1:7" x14ac:dyDescent="0.25">
      <c r="A89" t="s">
        <v>1025</v>
      </c>
      <c r="B89">
        <v>167</v>
      </c>
      <c r="C89">
        <f t="shared" si="6"/>
        <v>2.6555200393410416</v>
      </c>
      <c r="D89">
        <v>1.3</v>
      </c>
      <c r="E89">
        <f t="shared" si="4"/>
        <v>5.1179938124167554</v>
      </c>
      <c r="F89">
        <v>5.1358015703914894</v>
      </c>
      <c r="G89" s="3">
        <f t="shared" si="5"/>
        <v>-1.7807757974733995E-2</v>
      </c>
    </row>
    <row r="90" spans="1:7" x14ac:dyDescent="0.25">
      <c r="A90" t="s">
        <v>1026</v>
      </c>
      <c r="B90">
        <v>168.04</v>
      </c>
      <c r="C90">
        <f t="shared" si="6"/>
        <v>2.2389875882209642</v>
      </c>
      <c r="D90">
        <v>1.7</v>
      </c>
      <c r="E90">
        <f t="shared" si="4"/>
        <v>5.124202046301181</v>
      </c>
      <c r="F90">
        <v>5.1413396588018987</v>
      </c>
      <c r="G90" s="3">
        <f t="shared" si="5"/>
        <v>-1.7137612500717658E-2</v>
      </c>
    </row>
    <row r="91" spans="1:7" x14ac:dyDescent="0.25">
      <c r="A91" t="s">
        <v>1027</v>
      </c>
      <c r="B91">
        <v>167.83</v>
      </c>
      <c r="C91">
        <f t="shared" si="6"/>
        <v>1.2610112223965242</v>
      </c>
      <c r="D91">
        <v>1.9</v>
      </c>
      <c r="E91">
        <f t="shared" si="4"/>
        <v>5.1229515623200879</v>
      </c>
      <c r="F91">
        <v>5.1468777472123088</v>
      </c>
      <c r="G91" s="3">
        <f t="shared" si="5"/>
        <v>-2.3926184892220981E-2</v>
      </c>
    </row>
    <row r="92" spans="1:7" x14ac:dyDescent="0.25">
      <c r="A92" t="s">
        <v>1028</v>
      </c>
      <c r="B92">
        <v>169.44</v>
      </c>
      <c r="C92">
        <f t="shared" si="6"/>
        <v>2.0108368452739445</v>
      </c>
      <c r="D92">
        <v>2</v>
      </c>
      <c r="E92">
        <f t="shared" si="4"/>
        <v>5.1324988818530963</v>
      </c>
      <c r="F92">
        <v>5.1524158356227181</v>
      </c>
      <c r="G92" s="3">
        <f t="shared" si="5"/>
        <v>-1.991695376962177E-2</v>
      </c>
    </row>
    <row r="93" spans="1:7" x14ac:dyDescent="0.25">
      <c r="A93" t="s">
        <v>1029</v>
      </c>
      <c r="B93">
        <v>169.02</v>
      </c>
      <c r="C93">
        <f t="shared" si="6"/>
        <v>1.2095808383233653</v>
      </c>
      <c r="D93">
        <v>1.8</v>
      </c>
      <c r="E93">
        <f t="shared" si="4"/>
        <v>5.1300170511163365</v>
      </c>
      <c r="F93">
        <v>5.1579539240331282</v>
      </c>
      <c r="G93" s="3">
        <f t="shared" si="5"/>
        <v>-2.79368729167917E-2</v>
      </c>
    </row>
    <row r="94" spans="1:7" x14ac:dyDescent="0.25">
      <c r="A94" t="s">
        <v>1030</v>
      </c>
      <c r="B94">
        <v>169.51</v>
      </c>
      <c r="C94">
        <f t="shared" si="6"/>
        <v>0.87479171625803875</v>
      </c>
      <c r="D94">
        <v>1.5</v>
      </c>
      <c r="E94">
        <f t="shared" si="4"/>
        <v>5.1329119221303952</v>
      </c>
      <c r="F94">
        <v>5.1634920124435375</v>
      </c>
      <c r="G94" s="3">
        <f t="shared" si="5"/>
        <v>-3.058009031314235E-2</v>
      </c>
    </row>
    <row r="95" spans="1:7" x14ac:dyDescent="0.25">
      <c r="A95" t="s">
        <v>1031</v>
      </c>
      <c r="B95">
        <v>170.5</v>
      </c>
      <c r="C95">
        <f t="shared" si="6"/>
        <v>1.5908955490675059</v>
      </c>
      <c r="D95">
        <v>1.4</v>
      </c>
      <c r="E95">
        <f t="shared" si="4"/>
        <v>5.1387352967235715</v>
      </c>
      <c r="F95">
        <v>5.1690301008539468</v>
      </c>
      <c r="G95" s="3">
        <f t="shared" si="5"/>
        <v>-3.0294804130375219E-2</v>
      </c>
    </row>
    <row r="96" spans="1:7" x14ac:dyDescent="0.25">
      <c r="A96" t="s">
        <v>1032</v>
      </c>
      <c r="B96">
        <v>170.54</v>
      </c>
      <c r="C96">
        <f t="shared" si="6"/>
        <v>0.64919735599622275</v>
      </c>
      <c r="D96">
        <v>1.2</v>
      </c>
      <c r="E96">
        <f t="shared" si="4"/>
        <v>5.1389698733139033</v>
      </c>
      <c r="F96">
        <v>5.1745681892643569</v>
      </c>
      <c r="G96" s="3">
        <f t="shared" si="5"/>
        <v>-3.5598315950453596E-2</v>
      </c>
    </row>
    <row r="97" spans="1:7" x14ac:dyDescent="0.25">
      <c r="A97" t="s">
        <v>1033</v>
      </c>
      <c r="B97">
        <v>172.04</v>
      </c>
      <c r="C97">
        <f t="shared" si="6"/>
        <v>1.7867707963554524</v>
      </c>
      <c r="D97">
        <v>1.2</v>
      </c>
      <c r="E97">
        <f t="shared" si="4"/>
        <v>5.1477270079155355</v>
      </c>
      <c r="F97">
        <v>5.1801062776747662</v>
      </c>
      <c r="G97" s="3">
        <f t="shared" si="5"/>
        <v>-3.2379269759230667E-2</v>
      </c>
    </row>
    <row r="98" spans="1:7" x14ac:dyDescent="0.25">
      <c r="A98" t="s">
        <v>1034</v>
      </c>
      <c r="B98">
        <v>168.09</v>
      </c>
      <c r="C98">
        <f t="shared" si="6"/>
        <v>-0.8377086897528141</v>
      </c>
      <c r="D98">
        <v>1.1000000000000001</v>
      </c>
      <c r="E98">
        <f t="shared" si="4"/>
        <v>5.1244995502453028</v>
      </c>
      <c r="F98">
        <v>5.1856443660851763</v>
      </c>
      <c r="G98" s="3">
        <f t="shared" si="5"/>
        <v>-6.1144815839873523E-2</v>
      </c>
    </row>
    <row r="99" spans="1:7" x14ac:dyDescent="0.25">
      <c r="A99" t="s">
        <v>1035</v>
      </c>
      <c r="B99">
        <v>153.16999999999999</v>
      </c>
      <c r="C99">
        <f t="shared" si="6"/>
        <v>-10.164222873900297</v>
      </c>
      <c r="D99">
        <v>-1.7</v>
      </c>
      <c r="E99">
        <f t="shared" si="4"/>
        <v>5.0315484156764629</v>
      </c>
      <c r="F99">
        <v>5.1911824544955856</v>
      </c>
      <c r="G99" s="3">
        <f t="shared" si="5"/>
        <v>-0.15963403881912264</v>
      </c>
    </row>
    <row r="100" spans="1:7" x14ac:dyDescent="0.25">
      <c r="A100" t="s">
        <v>1036</v>
      </c>
      <c r="B100">
        <v>165.31</v>
      </c>
      <c r="C100">
        <f t="shared" si="6"/>
        <v>-3.0667292130878376</v>
      </c>
      <c r="D100">
        <v>-2.8</v>
      </c>
      <c r="E100">
        <f t="shared" si="4"/>
        <v>5.1078224990649206</v>
      </c>
      <c r="F100">
        <v>5.1967205429059948</v>
      </c>
      <c r="G100" s="3">
        <f t="shared" si="5"/>
        <v>-8.8898043841074248E-2</v>
      </c>
    </row>
    <row r="101" spans="1:7" x14ac:dyDescent="0.25">
      <c r="A101" t="s">
        <v>1037</v>
      </c>
      <c r="B101">
        <v>171.65</v>
      </c>
      <c r="C101">
        <f t="shared" si="6"/>
        <v>-0.22669146710067034</v>
      </c>
      <c r="D101">
        <v>-3.3</v>
      </c>
      <c r="E101">
        <f t="shared" si="4"/>
        <v>5.1454575199037009</v>
      </c>
      <c r="F101">
        <v>5.202258631316405</v>
      </c>
      <c r="G101" s="3">
        <f t="shared" si="5"/>
        <v>-5.6801111412704053E-2</v>
      </c>
    </row>
    <row r="102" spans="1:7" x14ac:dyDescent="0.25">
      <c r="A102" t="s">
        <v>1038</v>
      </c>
      <c r="B102">
        <v>173.15</v>
      </c>
      <c r="C102">
        <f t="shared" si="6"/>
        <v>3.0102921054197207</v>
      </c>
      <c r="D102">
        <v>-2.9</v>
      </c>
      <c r="E102">
        <f t="shared" si="4"/>
        <v>5.1541582708484306</v>
      </c>
      <c r="F102">
        <v>5.2077967197268142</v>
      </c>
      <c r="G102" s="3">
        <f t="shared" si="5"/>
        <v>-5.3638448878383649E-2</v>
      </c>
    </row>
    <row r="103" spans="1:7" x14ac:dyDescent="0.25">
      <c r="A103" t="s">
        <v>1039</v>
      </c>
      <c r="B103">
        <v>171.94</v>
      </c>
      <c r="C103">
        <f t="shared" si="6"/>
        <v>12.254357902983614</v>
      </c>
      <c r="D103">
        <v>2.4</v>
      </c>
      <c r="E103">
        <f t="shared" si="4"/>
        <v>5.1471455787462981</v>
      </c>
      <c r="F103">
        <v>5.2133348081372244</v>
      </c>
      <c r="G103" s="3">
        <f t="shared" si="5"/>
        <v>-6.6189229390926307E-2</v>
      </c>
    </row>
    <row r="104" spans="1:7" x14ac:dyDescent="0.25">
      <c r="A104" t="s">
        <v>1040</v>
      </c>
      <c r="B104">
        <v>172.2</v>
      </c>
      <c r="C104">
        <f t="shared" si="6"/>
        <v>4.1679269251708728</v>
      </c>
      <c r="D104">
        <v>4.3</v>
      </c>
      <c r="E104">
        <f t="shared" si="4"/>
        <v>5.14865659199363</v>
      </c>
      <c r="F104">
        <v>5.2188728965476336</v>
      </c>
      <c r="G104" s="3">
        <f t="shared" si="5"/>
        <v>-7.0216304554003628E-2</v>
      </c>
    </row>
    <row r="105" spans="1:7" x14ac:dyDescent="0.25">
      <c r="A105" t="s">
        <v>1041</v>
      </c>
      <c r="B105">
        <v>174.5</v>
      </c>
      <c r="C105">
        <f t="shared" si="6"/>
        <v>1.6603553743081756</v>
      </c>
      <c r="D105">
        <v>4.8</v>
      </c>
      <c r="E105">
        <f t="shared" si="4"/>
        <v>5.1619247416424816</v>
      </c>
      <c r="F105">
        <v>5.2244109849580429</v>
      </c>
      <c r="G105" s="3">
        <f t="shared" si="5"/>
        <v>-6.2486243315561296E-2</v>
      </c>
    </row>
    <row r="106" spans="1:7" x14ac:dyDescent="0.25">
      <c r="A106" t="s">
        <v>1042</v>
      </c>
      <c r="B106">
        <v>175.7</v>
      </c>
      <c r="C106">
        <f t="shared" si="6"/>
        <v>1.472711521801906</v>
      </c>
      <c r="D106">
        <v>4.7</v>
      </c>
      <c r="E106">
        <f t="shared" si="4"/>
        <v>5.168777995193051</v>
      </c>
      <c r="F106">
        <v>5.229949073368453</v>
      </c>
      <c r="G106" s="3">
        <f t="shared" si="5"/>
        <v>-6.1171078175402016E-2</v>
      </c>
    </row>
    <row r="107" spans="1:7" x14ac:dyDescent="0.25">
      <c r="A107" t="s">
        <v>1043</v>
      </c>
      <c r="B107">
        <v>177.7</v>
      </c>
      <c r="C107">
        <f t="shared" si="6"/>
        <v>3.3500058159823043</v>
      </c>
      <c r="D107">
        <v>2.7</v>
      </c>
      <c r="E107">
        <f t="shared" si="4"/>
        <v>5.180096735160606</v>
      </c>
      <c r="F107">
        <v>5.2354871617788623</v>
      </c>
      <c r="G107" s="3">
        <f t="shared" si="5"/>
        <v>-5.5390426618256328E-2</v>
      </c>
    </row>
    <row r="108" spans="1:7" x14ac:dyDescent="0.25">
      <c r="A108" t="s">
        <v>1044</v>
      </c>
      <c r="B108">
        <v>179.58</v>
      </c>
      <c r="C108">
        <f t="shared" si="6"/>
        <v>4.2857142857142927</v>
      </c>
      <c r="D108">
        <v>2.7</v>
      </c>
      <c r="E108">
        <f t="shared" si="4"/>
        <v>5.1906207910926625</v>
      </c>
      <c r="F108">
        <v>5.2410252501892725</v>
      </c>
      <c r="G108" s="3">
        <f t="shared" si="5"/>
        <v>-5.0404459096609955E-2</v>
      </c>
    </row>
    <row r="109" spans="1:7" x14ac:dyDescent="0.25">
      <c r="A109" t="s">
        <v>1045</v>
      </c>
      <c r="B109">
        <v>180.35</v>
      </c>
      <c r="C109">
        <f t="shared" si="6"/>
        <v>3.352435530085951</v>
      </c>
      <c r="D109">
        <v>3</v>
      </c>
      <c r="E109">
        <f t="shared" si="4"/>
        <v>5.1948994073495482</v>
      </c>
      <c r="F109">
        <v>5.2465633385996817</v>
      </c>
      <c r="G109" s="3">
        <f t="shared" si="5"/>
        <v>-5.1663931250133466E-2</v>
      </c>
    </row>
    <row r="110" spans="1:7" x14ac:dyDescent="0.25">
      <c r="A110" t="s">
        <v>1046</v>
      </c>
      <c r="B110">
        <v>182.77</v>
      </c>
      <c r="C110">
        <f t="shared" si="6"/>
        <v>4.0239043824701337</v>
      </c>
      <c r="D110">
        <v>3.8</v>
      </c>
      <c r="E110">
        <f t="shared" si="4"/>
        <v>5.208228531766351</v>
      </c>
      <c r="F110">
        <v>5.252101427010091</v>
      </c>
      <c r="G110" s="3">
        <f t="shared" si="5"/>
        <v>-4.387289524373994E-2</v>
      </c>
    </row>
    <row r="111" spans="1:7" x14ac:dyDescent="0.25">
      <c r="A111" t="s">
        <v>1047</v>
      </c>
      <c r="B111">
        <v>184.19</v>
      </c>
      <c r="C111">
        <f t="shared" si="6"/>
        <v>3.6522228474957785</v>
      </c>
      <c r="D111">
        <v>3.8</v>
      </c>
      <c r="E111">
        <f t="shared" si="4"/>
        <v>5.2159678335310113</v>
      </c>
      <c r="F111">
        <v>5.2576395154205011</v>
      </c>
      <c r="G111" s="3">
        <f t="shared" si="5"/>
        <v>-4.1671681889489776E-2</v>
      </c>
    </row>
    <row r="112" spans="1:7" x14ac:dyDescent="0.25">
      <c r="A112" t="s">
        <v>1048</v>
      </c>
      <c r="B112">
        <v>184.43</v>
      </c>
      <c r="C112">
        <f t="shared" si="6"/>
        <v>2.700746185544034</v>
      </c>
      <c r="D112">
        <v>3.3</v>
      </c>
      <c r="E112">
        <f t="shared" si="4"/>
        <v>5.2172699876947144</v>
      </c>
      <c r="F112">
        <v>5.2631776038309104</v>
      </c>
      <c r="G112" s="3">
        <f t="shared" si="5"/>
        <v>-4.5907616136195983E-2</v>
      </c>
    </row>
    <row r="113" spans="1:7" x14ac:dyDescent="0.25">
      <c r="A113" t="s">
        <v>1049</v>
      </c>
      <c r="B113">
        <v>185.14</v>
      </c>
      <c r="C113">
        <f t="shared" si="6"/>
        <v>2.6559467701691153</v>
      </c>
      <c r="D113">
        <v>3.2</v>
      </c>
      <c r="E113">
        <f t="shared" si="4"/>
        <v>5.221112295639065</v>
      </c>
      <c r="F113">
        <v>5.2687156922413196</v>
      </c>
      <c r="G113" s="3">
        <f t="shared" si="5"/>
        <v>-4.7603396602254655E-2</v>
      </c>
    </row>
    <row r="114" spans="1:7" x14ac:dyDescent="0.25">
      <c r="A114" t="s">
        <v>1050</v>
      </c>
      <c r="B114">
        <v>186.4</v>
      </c>
      <c r="C114">
        <f t="shared" si="6"/>
        <v>1.9861027520927887</v>
      </c>
      <c r="D114">
        <v>2.8</v>
      </c>
      <c r="E114">
        <f t="shared" si="4"/>
        <v>5.2278949022514904</v>
      </c>
      <c r="F114">
        <v>5.2742537806517298</v>
      </c>
      <c r="G114" s="3">
        <f t="shared" si="5"/>
        <v>-4.6358878400239334E-2</v>
      </c>
    </row>
    <row r="115" spans="1:7" x14ac:dyDescent="0.25">
      <c r="A115" t="s">
        <v>1051</v>
      </c>
      <c r="B115">
        <v>189.52</v>
      </c>
      <c r="C115">
        <f t="shared" si="6"/>
        <v>2.8937510179705805</v>
      </c>
      <c r="D115">
        <v>2.7</v>
      </c>
      <c r="E115">
        <f t="shared" si="4"/>
        <v>5.2444945598505299</v>
      </c>
      <c r="F115">
        <v>5.279791869062139</v>
      </c>
      <c r="G115" s="3">
        <f t="shared" si="5"/>
        <v>-3.5297309211609118E-2</v>
      </c>
    </row>
    <row r="116" spans="1:7" x14ac:dyDescent="0.25">
      <c r="A116" t="s">
        <v>1052</v>
      </c>
      <c r="B116">
        <v>191.23</v>
      </c>
      <c r="C116">
        <f t="shared" si="6"/>
        <v>3.6870357317139169</v>
      </c>
      <c r="D116">
        <v>3.1</v>
      </c>
      <c r="E116">
        <f t="shared" si="4"/>
        <v>5.2534768920748824</v>
      </c>
      <c r="F116">
        <v>5.2853299574725492</v>
      </c>
      <c r="G116" s="3">
        <f t="shared" si="5"/>
        <v>-3.1853065397666747E-2</v>
      </c>
    </row>
    <row r="117" spans="1:7" x14ac:dyDescent="0.25">
      <c r="A117" t="s">
        <v>1053</v>
      </c>
      <c r="B117">
        <v>191.41</v>
      </c>
      <c r="C117">
        <f t="shared" si="6"/>
        <v>3.3866263368261817</v>
      </c>
      <c r="D117">
        <v>3.4</v>
      </c>
      <c r="E117">
        <f t="shared" si="4"/>
        <v>5.2544177242580181</v>
      </c>
      <c r="F117">
        <v>5.2908680458829584</v>
      </c>
      <c r="G117" s="3">
        <f t="shared" si="5"/>
        <v>-3.6450321624940329E-2</v>
      </c>
    </row>
    <row r="118" spans="1:7" x14ac:dyDescent="0.25">
      <c r="A118" t="s">
        <v>1054</v>
      </c>
      <c r="B118">
        <v>193.84</v>
      </c>
      <c r="C118">
        <f t="shared" si="6"/>
        <v>3.991416309012874</v>
      </c>
      <c r="D118">
        <v>3.6</v>
      </c>
      <c r="E118">
        <f t="shared" si="4"/>
        <v>5.2670330765082705</v>
      </c>
      <c r="F118">
        <v>5.2964061342933677</v>
      </c>
      <c r="G118" s="3">
        <f t="shared" si="5"/>
        <v>-2.9373057785097245E-2</v>
      </c>
    </row>
    <row r="119" spans="1:7" x14ac:dyDescent="0.25">
      <c r="A119" t="s">
        <v>1055</v>
      </c>
      <c r="B119">
        <v>194.5</v>
      </c>
      <c r="C119">
        <f t="shared" si="6"/>
        <v>2.6276910088644856</v>
      </c>
      <c r="D119">
        <v>3.3</v>
      </c>
      <c r="E119">
        <f t="shared" si="4"/>
        <v>5.2704321630585014</v>
      </c>
      <c r="F119">
        <v>5.3019442227037779</v>
      </c>
      <c r="G119" s="3">
        <f t="shared" si="5"/>
        <v>-3.151205964527648E-2</v>
      </c>
    </row>
    <row r="120" spans="1:7" x14ac:dyDescent="0.25">
      <c r="A120" t="s">
        <v>1056</v>
      </c>
      <c r="B120">
        <v>194.69</v>
      </c>
      <c r="C120">
        <f t="shared" si="6"/>
        <v>1.809339538775312</v>
      </c>
      <c r="D120">
        <v>2.7</v>
      </c>
      <c r="E120">
        <f t="shared" si="4"/>
        <v>5.2714085499908192</v>
      </c>
      <c r="F120">
        <v>5.3074823111141871</v>
      </c>
      <c r="G120" s="3">
        <f t="shared" si="5"/>
        <v>-3.6073761123367909E-2</v>
      </c>
    </row>
    <row r="121" spans="1:7" x14ac:dyDescent="0.25">
      <c r="A121" t="s">
        <v>1057</v>
      </c>
      <c r="B121">
        <v>195.19</v>
      </c>
      <c r="C121">
        <f t="shared" si="6"/>
        <v>1.9748184525364421</v>
      </c>
      <c r="D121">
        <v>2.2999999999999998</v>
      </c>
      <c r="E121">
        <f t="shared" si="4"/>
        <v>5.2739734431585195</v>
      </c>
      <c r="F121">
        <v>5.3130203995245964</v>
      </c>
      <c r="G121" s="3">
        <f t="shared" si="5"/>
        <v>-3.9046956366076913E-2</v>
      </c>
    </row>
    <row r="122" spans="1:7" x14ac:dyDescent="0.25">
      <c r="A122" t="s">
        <v>1058</v>
      </c>
      <c r="B122">
        <v>197.34</v>
      </c>
      <c r="C122">
        <f>(B122/B118-1)*100</f>
        <v>1.8056128765992607</v>
      </c>
      <c r="D122">
        <v>2</v>
      </c>
      <c r="E122">
        <f t="shared" si="4"/>
        <v>5.2849281294290202</v>
      </c>
      <c r="F122">
        <v>5.3185584879350065</v>
      </c>
      <c r="G122" s="3">
        <f t="shared" si="5"/>
        <v>-3.363035850598628E-2</v>
      </c>
    </row>
    <row r="123" spans="1:7" x14ac:dyDescent="0.25">
      <c r="A123" t="s">
        <v>1059</v>
      </c>
      <c r="B123" t="s">
        <v>1060</v>
      </c>
      <c r="E123" t="e">
        <f t="shared" si="4"/>
        <v>#VALUE!</v>
      </c>
      <c r="G123" s="3" t="e">
        <f t="shared" si="5"/>
        <v>#VALUE!</v>
      </c>
    </row>
  </sheetData>
  <pageMargins left="0.511811024" right="0.511811024" top="0.78740157499999996" bottom="0.78740157499999996" header="0.31496062000000002" footer="0.3149606200000000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9FFF5-3D9A-4D42-8249-FA7B1DA6AB24}">
  <dimension ref="A1:DS5"/>
  <sheetViews>
    <sheetView showGridLines="0" topLeftCell="DD1" workbookViewId="0">
      <selection activeCell="A30" sqref="A30"/>
    </sheetView>
  </sheetViews>
  <sheetFormatPr defaultRowHeight="15" x14ac:dyDescent="0.25"/>
  <cols>
    <col min="1" max="1" width="36.5703125" bestFit="1" customWidth="1"/>
    <col min="3" max="123" width="16.28515625" bestFit="1" customWidth="1"/>
  </cols>
  <sheetData>
    <row r="1" spans="1:123" ht="15" customHeight="1" x14ac:dyDescent="0.25">
      <c r="A1" s="29" t="s">
        <v>1061</v>
      </c>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c r="BO1" s="29"/>
      <c r="BP1" s="29"/>
      <c r="BQ1" s="29"/>
      <c r="BR1" s="29"/>
      <c r="BS1" s="29"/>
      <c r="BT1" s="29"/>
      <c r="BU1" s="29"/>
      <c r="BV1" s="29"/>
      <c r="BW1" s="29"/>
      <c r="BX1" s="29"/>
      <c r="BY1" s="29"/>
      <c r="BZ1" s="29"/>
      <c r="CA1" s="29"/>
      <c r="CB1" s="29"/>
      <c r="CC1" s="29"/>
      <c r="CD1" s="29"/>
      <c r="CE1" s="29"/>
      <c r="CF1" s="29"/>
      <c r="CG1" s="29"/>
      <c r="CH1" s="29"/>
      <c r="CI1" s="29"/>
      <c r="CJ1" s="29"/>
      <c r="CK1" s="29"/>
      <c r="CL1" s="29"/>
      <c r="CM1" s="29"/>
      <c r="CN1" s="29"/>
      <c r="CO1" s="29"/>
      <c r="CP1" s="29"/>
      <c r="CQ1" s="29"/>
      <c r="CR1" s="29"/>
      <c r="CS1" s="29"/>
      <c r="CT1" s="29"/>
      <c r="CU1" s="29"/>
      <c r="CV1" s="29"/>
      <c r="CW1" s="29"/>
      <c r="CX1" s="29"/>
      <c r="CY1" s="29"/>
      <c r="CZ1" s="29"/>
      <c r="DA1" s="29"/>
      <c r="DB1" s="29"/>
      <c r="DC1" s="29"/>
      <c r="DD1" s="29"/>
      <c r="DE1" s="29"/>
      <c r="DF1" s="29"/>
      <c r="DG1" s="29"/>
      <c r="DH1" s="29"/>
      <c r="DI1" s="29"/>
      <c r="DJ1" s="29"/>
      <c r="DK1" s="29"/>
      <c r="DL1" s="29"/>
      <c r="DM1" s="29"/>
      <c r="DN1" s="29"/>
      <c r="DO1" s="29"/>
      <c r="DP1" s="29"/>
      <c r="DQ1" s="29"/>
      <c r="DR1" s="29"/>
      <c r="DS1" s="29"/>
    </row>
    <row r="2" spans="1:123" x14ac:dyDescent="0.25">
      <c r="A2" s="1"/>
      <c r="B2" s="1"/>
      <c r="C2" s="29" t="s">
        <v>1062</v>
      </c>
      <c r="D2" s="29" t="s">
        <v>1063</v>
      </c>
      <c r="E2" s="29" t="s">
        <v>1064</v>
      </c>
      <c r="F2" s="29" t="s">
        <v>1065</v>
      </c>
      <c r="G2" s="29" t="s">
        <v>1066</v>
      </c>
      <c r="H2" s="29" t="s">
        <v>1067</v>
      </c>
      <c r="I2" s="29" t="s">
        <v>1068</v>
      </c>
      <c r="J2" s="29" t="s">
        <v>1069</v>
      </c>
      <c r="K2" s="29" t="s">
        <v>1070</v>
      </c>
      <c r="L2" s="29" t="s">
        <v>1071</v>
      </c>
      <c r="M2" s="29" t="s">
        <v>1072</v>
      </c>
      <c r="N2" s="29" t="s">
        <v>1073</v>
      </c>
      <c r="O2" s="29" t="s">
        <v>1074</v>
      </c>
      <c r="P2" s="29" t="s">
        <v>1075</v>
      </c>
      <c r="Q2" s="29" t="s">
        <v>1076</v>
      </c>
      <c r="R2" s="29" t="s">
        <v>1077</v>
      </c>
      <c r="S2" s="29" t="s">
        <v>1078</v>
      </c>
      <c r="T2" s="29" t="s">
        <v>1079</v>
      </c>
      <c r="U2" s="29" t="s">
        <v>1080</v>
      </c>
      <c r="V2" s="29" t="s">
        <v>1081</v>
      </c>
      <c r="W2" s="29" t="s">
        <v>1082</v>
      </c>
      <c r="X2" s="29" t="s">
        <v>1083</v>
      </c>
      <c r="Y2" s="29" t="s">
        <v>1084</v>
      </c>
      <c r="Z2" s="29" t="s">
        <v>1085</v>
      </c>
      <c r="AA2" s="29" t="s">
        <v>1086</v>
      </c>
      <c r="AB2" s="29" t="s">
        <v>1087</v>
      </c>
      <c r="AC2" s="29" t="s">
        <v>1088</v>
      </c>
      <c r="AD2" s="29" t="s">
        <v>1089</v>
      </c>
      <c r="AE2" s="29" t="s">
        <v>1090</v>
      </c>
      <c r="AF2" s="29" t="s">
        <v>1091</v>
      </c>
      <c r="AG2" s="29" t="s">
        <v>1092</v>
      </c>
      <c r="AH2" s="29" t="s">
        <v>1093</v>
      </c>
      <c r="AI2" s="29" t="s">
        <v>1094</v>
      </c>
      <c r="AJ2" s="29" t="s">
        <v>1095</v>
      </c>
      <c r="AK2" s="29" t="s">
        <v>1096</v>
      </c>
      <c r="AL2" s="29" t="s">
        <v>1097</v>
      </c>
      <c r="AM2" s="29" t="s">
        <v>1098</v>
      </c>
      <c r="AN2" s="29" t="s">
        <v>1099</v>
      </c>
      <c r="AO2" s="29" t="s">
        <v>1100</v>
      </c>
      <c r="AP2" s="29" t="s">
        <v>1101</v>
      </c>
      <c r="AQ2" s="29" t="s">
        <v>1102</v>
      </c>
      <c r="AR2" s="29" t="s">
        <v>1103</v>
      </c>
      <c r="AS2" s="29" t="s">
        <v>1104</v>
      </c>
      <c r="AT2" s="29" t="s">
        <v>1105</v>
      </c>
      <c r="AU2" s="29" t="s">
        <v>1106</v>
      </c>
      <c r="AV2" s="29" t="s">
        <v>1107</v>
      </c>
      <c r="AW2" s="29" t="s">
        <v>1108</v>
      </c>
      <c r="AX2" s="29" t="s">
        <v>1109</v>
      </c>
      <c r="AY2" s="29" t="s">
        <v>1110</v>
      </c>
      <c r="AZ2" s="29" t="s">
        <v>1111</v>
      </c>
      <c r="BA2" s="29" t="s">
        <v>1112</v>
      </c>
      <c r="BB2" s="29" t="s">
        <v>1113</v>
      </c>
      <c r="BC2" s="29" t="s">
        <v>1114</v>
      </c>
      <c r="BD2" s="29" t="s">
        <v>1115</v>
      </c>
      <c r="BE2" s="29" t="s">
        <v>1116</v>
      </c>
      <c r="BF2" s="29" t="s">
        <v>1117</v>
      </c>
      <c r="BG2" s="29" t="s">
        <v>1118</v>
      </c>
      <c r="BH2" s="29" t="s">
        <v>1119</v>
      </c>
      <c r="BI2" s="29" t="s">
        <v>1120</v>
      </c>
      <c r="BJ2" s="29" t="s">
        <v>1121</v>
      </c>
      <c r="BK2" s="29" t="s">
        <v>1122</v>
      </c>
      <c r="BL2" s="29" t="s">
        <v>1123</v>
      </c>
      <c r="BM2" s="29" t="s">
        <v>1124</v>
      </c>
      <c r="BN2" s="29" t="s">
        <v>1125</v>
      </c>
      <c r="BO2" s="29" t="s">
        <v>1126</v>
      </c>
      <c r="BP2" s="29" t="s">
        <v>1127</v>
      </c>
      <c r="BQ2" s="29" t="s">
        <v>1128</v>
      </c>
      <c r="BR2" s="29" t="s">
        <v>1129</v>
      </c>
      <c r="BS2" s="29" t="s">
        <v>1130</v>
      </c>
      <c r="BT2" s="29" t="s">
        <v>1131</v>
      </c>
      <c r="BU2" s="29" t="s">
        <v>1132</v>
      </c>
      <c r="BV2" s="29" t="s">
        <v>1133</v>
      </c>
      <c r="BW2" s="29" t="s">
        <v>1134</v>
      </c>
      <c r="BX2" s="29" t="s">
        <v>1135</v>
      </c>
      <c r="BY2" s="29" t="s">
        <v>1136</v>
      </c>
      <c r="BZ2" s="29" t="s">
        <v>1137</v>
      </c>
      <c r="CA2" s="29" t="s">
        <v>1138</v>
      </c>
      <c r="CB2" s="29" t="s">
        <v>1139</v>
      </c>
      <c r="CC2" s="29" t="s">
        <v>1140</v>
      </c>
      <c r="CD2" s="29" t="s">
        <v>1141</v>
      </c>
      <c r="CE2" s="29" t="s">
        <v>1142</v>
      </c>
      <c r="CF2" s="29" t="s">
        <v>1143</v>
      </c>
      <c r="CG2" s="29" t="s">
        <v>1144</v>
      </c>
      <c r="CH2" s="29" t="s">
        <v>1145</v>
      </c>
      <c r="CI2" s="29" t="s">
        <v>1146</v>
      </c>
      <c r="CJ2" s="29" t="s">
        <v>1147</v>
      </c>
      <c r="CK2" s="29" t="s">
        <v>1148</v>
      </c>
      <c r="CL2" s="29" t="s">
        <v>1149</v>
      </c>
      <c r="CM2" s="29" t="s">
        <v>1150</v>
      </c>
      <c r="CN2" s="29" t="s">
        <v>1151</v>
      </c>
      <c r="CO2" s="29" t="s">
        <v>1152</v>
      </c>
      <c r="CP2" s="29" t="s">
        <v>1153</v>
      </c>
      <c r="CQ2" s="29" t="s">
        <v>1154</v>
      </c>
      <c r="CR2" s="29" t="s">
        <v>1155</v>
      </c>
      <c r="CS2" s="29" t="s">
        <v>1156</v>
      </c>
      <c r="CT2" s="29" t="s">
        <v>1157</v>
      </c>
      <c r="CU2" s="29" t="s">
        <v>1158</v>
      </c>
      <c r="CV2" s="29" t="s">
        <v>1159</v>
      </c>
      <c r="CW2" s="29" t="s">
        <v>1160</v>
      </c>
      <c r="CX2" s="29" t="s">
        <v>1161</v>
      </c>
      <c r="CY2" s="29" t="s">
        <v>1162</v>
      </c>
      <c r="CZ2" s="29" t="s">
        <v>1163</v>
      </c>
      <c r="DA2" s="29" t="s">
        <v>1164</v>
      </c>
      <c r="DB2" s="29" t="s">
        <v>1165</v>
      </c>
      <c r="DC2" s="29" t="s">
        <v>1166</v>
      </c>
      <c r="DD2" s="29" t="s">
        <v>1167</v>
      </c>
      <c r="DE2" s="29" t="s">
        <v>1168</v>
      </c>
      <c r="DF2" s="29" t="s">
        <v>1169</v>
      </c>
      <c r="DG2" s="29" t="s">
        <v>1170</v>
      </c>
      <c r="DH2" s="29" t="s">
        <v>1171</v>
      </c>
      <c r="DI2" s="29" t="s">
        <v>1172</v>
      </c>
      <c r="DJ2" s="29" t="s">
        <v>1173</v>
      </c>
      <c r="DK2" s="29" t="s">
        <v>1174</v>
      </c>
      <c r="DL2" s="29" t="s">
        <v>1175</v>
      </c>
      <c r="DM2" s="29" t="s">
        <v>1176</v>
      </c>
      <c r="DN2" s="29" t="s">
        <v>1177</v>
      </c>
      <c r="DO2" s="29" t="s">
        <v>1178</v>
      </c>
      <c r="DP2" s="29" t="s">
        <v>1179</v>
      </c>
      <c r="DQ2" s="29" t="s">
        <v>1180</v>
      </c>
      <c r="DR2" s="29" t="s">
        <v>1181</v>
      </c>
      <c r="DS2" s="29" t="s">
        <v>1182</v>
      </c>
    </row>
    <row r="3" spans="1:123" x14ac:dyDescent="0.25">
      <c r="A3" s="1"/>
      <c r="B3" s="1"/>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c r="BC3" s="29"/>
      <c r="BD3" s="29"/>
      <c r="BE3" s="29"/>
      <c r="BF3" s="29"/>
      <c r="BG3" s="29"/>
      <c r="BH3" s="29"/>
      <c r="BI3" s="29"/>
      <c r="BJ3" s="29"/>
      <c r="BK3" s="29"/>
      <c r="BL3" s="29"/>
      <c r="BM3" s="29"/>
      <c r="BN3" s="29"/>
      <c r="BO3" s="29"/>
      <c r="BP3" s="29"/>
      <c r="BQ3" s="29"/>
      <c r="BR3" s="29"/>
      <c r="BS3" s="29"/>
      <c r="BT3" s="29"/>
      <c r="BU3" s="29"/>
      <c r="BV3" s="29"/>
      <c r="BW3" s="29"/>
      <c r="BX3" s="29"/>
      <c r="BY3" s="29"/>
      <c r="BZ3" s="29"/>
      <c r="CA3" s="29"/>
      <c r="CB3" s="29"/>
      <c r="CC3" s="29"/>
      <c r="CD3" s="29"/>
      <c r="CE3" s="29"/>
      <c r="CF3" s="29"/>
      <c r="CG3" s="29"/>
      <c r="CH3" s="29"/>
      <c r="CI3" s="29"/>
      <c r="CJ3" s="29"/>
      <c r="CK3" s="29"/>
      <c r="CL3" s="29"/>
      <c r="CM3" s="29"/>
      <c r="CN3" s="29"/>
      <c r="CO3" s="29"/>
      <c r="CP3" s="29"/>
      <c r="CQ3" s="29"/>
      <c r="CR3" s="29"/>
      <c r="CS3" s="29"/>
      <c r="CT3" s="29"/>
      <c r="CU3" s="29"/>
      <c r="CV3" s="29"/>
      <c r="CW3" s="29"/>
      <c r="CX3" s="29"/>
      <c r="CY3" s="29"/>
      <c r="CZ3" s="29"/>
      <c r="DA3" s="29"/>
      <c r="DB3" s="29"/>
      <c r="DC3" s="29"/>
      <c r="DD3" s="29"/>
      <c r="DE3" s="29"/>
      <c r="DF3" s="29"/>
      <c r="DG3" s="29"/>
      <c r="DH3" s="29"/>
      <c r="DI3" s="29"/>
      <c r="DJ3" s="29"/>
      <c r="DK3" s="29"/>
      <c r="DL3" s="29"/>
      <c r="DM3" s="29"/>
      <c r="DN3" s="29"/>
      <c r="DO3" s="29"/>
      <c r="DP3" s="29"/>
      <c r="DQ3" s="29"/>
      <c r="DR3" s="29"/>
      <c r="DS3" s="29"/>
    </row>
    <row r="4" spans="1:123" ht="15" customHeight="1" x14ac:dyDescent="0.25">
      <c r="A4" s="29" t="s">
        <v>1183</v>
      </c>
      <c r="B4" s="29"/>
      <c r="C4" s="2">
        <v>2.5</v>
      </c>
      <c r="D4" s="2">
        <v>2.1</v>
      </c>
      <c r="E4" s="2">
        <v>2.2999999999999998</v>
      </c>
      <c r="F4" s="2">
        <v>2.2000000000000002</v>
      </c>
      <c r="G4" s="2">
        <v>3.2</v>
      </c>
      <c r="H4" s="2">
        <v>4</v>
      </c>
      <c r="I4" s="2">
        <v>3</v>
      </c>
      <c r="J4" s="2">
        <v>3.4</v>
      </c>
      <c r="K4" s="2">
        <v>2.8</v>
      </c>
      <c r="L4" s="2">
        <v>2</v>
      </c>
      <c r="M4" s="2">
        <v>1.6</v>
      </c>
      <c r="N4" s="2">
        <v>0.3</v>
      </c>
      <c r="O4" s="2">
        <v>0.3</v>
      </c>
      <c r="P4" s="2">
        <v>-0.2</v>
      </c>
      <c r="Q4" s="2">
        <v>-0.4</v>
      </c>
      <c r="R4" s="2">
        <v>0.5</v>
      </c>
      <c r="S4" s="2">
        <v>1.3</v>
      </c>
      <c r="T4" s="2">
        <v>2.4</v>
      </c>
      <c r="U4" s="2">
        <v>3.8</v>
      </c>
      <c r="V4" s="2">
        <v>4.4000000000000004</v>
      </c>
      <c r="W4" s="2">
        <v>4.2</v>
      </c>
      <c r="X4" s="2">
        <v>3.7</v>
      </c>
      <c r="Y4" s="2">
        <v>2.7</v>
      </c>
      <c r="Z4" s="2">
        <v>1.4</v>
      </c>
      <c r="AA4" s="2">
        <v>0.7</v>
      </c>
      <c r="AB4" s="2">
        <v>0.7</v>
      </c>
      <c r="AC4" s="2">
        <v>1.6</v>
      </c>
      <c r="AD4" s="2">
        <v>3.1</v>
      </c>
      <c r="AE4" s="2">
        <v>3.6</v>
      </c>
      <c r="AF4" s="2">
        <v>3.2</v>
      </c>
      <c r="AG4" s="2">
        <v>2.2999999999999998</v>
      </c>
      <c r="AH4" s="2">
        <v>1.1000000000000001</v>
      </c>
      <c r="AI4" s="2">
        <v>1.4</v>
      </c>
      <c r="AJ4" s="2">
        <v>2.8</v>
      </c>
      <c r="AK4" s="2">
        <v>4.3</v>
      </c>
      <c r="AL4" s="2">
        <v>5.8</v>
      </c>
      <c r="AM4" s="2">
        <v>5.8</v>
      </c>
      <c r="AN4" s="2">
        <v>5.4</v>
      </c>
      <c r="AO4" s="2">
        <v>4.2</v>
      </c>
      <c r="AP4" s="2">
        <v>3.2</v>
      </c>
      <c r="AQ4" s="2">
        <v>3.2</v>
      </c>
      <c r="AR4" s="2">
        <v>2.7</v>
      </c>
      <c r="AS4" s="2">
        <v>3.3</v>
      </c>
      <c r="AT4" s="2">
        <v>4</v>
      </c>
      <c r="AU4" s="2">
        <v>4.2</v>
      </c>
      <c r="AV4" s="2">
        <v>5.3</v>
      </c>
      <c r="AW4" s="2">
        <v>5.6</v>
      </c>
      <c r="AX4" s="2">
        <v>6.1</v>
      </c>
      <c r="AY4" s="2">
        <v>6.3</v>
      </c>
      <c r="AZ4" s="2">
        <v>6.3</v>
      </c>
      <c r="BA4" s="2">
        <v>6.5</v>
      </c>
      <c r="BB4" s="2">
        <v>5.0999999999999996</v>
      </c>
      <c r="BC4" s="2">
        <v>3</v>
      </c>
      <c r="BD4" s="2">
        <v>0.8</v>
      </c>
      <c r="BE4" s="2">
        <v>-1.2</v>
      </c>
      <c r="BF4" s="2">
        <v>-0.1</v>
      </c>
      <c r="BG4" s="2">
        <v>2.6</v>
      </c>
      <c r="BH4" s="2">
        <v>5.3</v>
      </c>
      <c r="BI4" s="2">
        <v>7.5</v>
      </c>
      <c r="BJ4" s="2">
        <v>7.5</v>
      </c>
      <c r="BK4" s="2">
        <v>6.6</v>
      </c>
      <c r="BL4" s="2">
        <v>5.6</v>
      </c>
      <c r="BM4" s="2">
        <v>4.8</v>
      </c>
      <c r="BN4" s="2">
        <v>4</v>
      </c>
      <c r="BO4" s="2">
        <v>3.1</v>
      </c>
      <c r="BP4" s="2">
        <v>2.2000000000000002</v>
      </c>
      <c r="BQ4" s="2">
        <v>1.9</v>
      </c>
      <c r="BR4" s="2">
        <v>1.9</v>
      </c>
      <c r="BS4" s="2">
        <v>2.2000000000000002</v>
      </c>
      <c r="BT4" s="2">
        <v>2.9</v>
      </c>
      <c r="BU4" s="2">
        <v>3</v>
      </c>
      <c r="BV4" s="2">
        <v>3</v>
      </c>
      <c r="BW4" s="2">
        <v>3.2</v>
      </c>
      <c r="BX4" s="2">
        <v>2.1</v>
      </c>
      <c r="BY4" s="2">
        <v>1.2</v>
      </c>
      <c r="BZ4" s="2">
        <v>0.5</v>
      </c>
      <c r="CA4" s="2">
        <v>-0.7</v>
      </c>
      <c r="CB4" s="2">
        <v>-1.3</v>
      </c>
      <c r="CC4" s="2">
        <v>-2.2000000000000002</v>
      </c>
      <c r="CD4" s="2">
        <v>-3.5</v>
      </c>
      <c r="CE4" s="2">
        <v>-4.4000000000000004</v>
      </c>
      <c r="CF4" s="2">
        <v>-4.5</v>
      </c>
      <c r="CG4" s="2">
        <v>-4.0999999999999996</v>
      </c>
      <c r="CH4" s="2">
        <v>-3.3</v>
      </c>
      <c r="CI4" s="2">
        <v>-1.9</v>
      </c>
      <c r="CJ4" s="2">
        <v>-0.9</v>
      </c>
      <c r="CK4" s="2">
        <v>0.1</v>
      </c>
      <c r="CL4" s="2">
        <v>1.3</v>
      </c>
      <c r="CM4" s="2">
        <v>1.7</v>
      </c>
      <c r="CN4" s="2">
        <v>1.9</v>
      </c>
      <c r="CO4" s="2">
        <v>2</v>
      </c>
      <c r="CP4" s="2">
        <v>1.8</v>
      </c>
      <c r="CQ4" s="2">
        <v>1.5</v>
      </c>
      <c r="CR4" s="2">
        <v>1.4</v>
      </c>
      <c r="CS4" s="2">
        <v>1.2</v>
      </c>
      <c r="CT4" s="2">
        <v>1.2</v>
      </c>
      <c r="CU4" s="2">
        <v>1.1000000000000001</v>
      </c>
      <c r="CV4" s="2">
        <v>-1.7</v>
      </c>
      <c r="CW4" s="2">
        <v>-2.8</v>
      </c>
      <c r="CX4" s="2">
        <v>-3.3</v>
      </c>
      <c r="CY4" s="2">
        <v>-2.9</v>
      </c>
      <c r="CZ4" s="2">
        <v>2.4</v>
      </c>
      <c r="DA4" s="2">
        <v>4.3</v>
      </c>
      <c r="DB4" s="2">
        <v>4.8</v>
      </c>
      <c r="DC4" s="2">
        <v>4.7</v>
      </c>
      <c r="DD4" s="2">
        <v>2.7</v>
      </c>
      <c r="DE4" s="2">
        <v>2.7</v>
      </c>
      <c r="DF4" s="2">
        <v>3</v>
      </c>
      <c r="DG4" s="2">
        <v>3.8</v>
      </c>
      <c r="DH4" s="2">
        <v>3.8</v>
      </c>
      <c r="DI4" s="2">
        <v>3.3</v>
      </c>
      <c r="DJ4" s="2">
        <v>3.2</v>
      </c>
      <c r="DK4" s="2">
        <v>2.8</v>
      </c>
      <c r="DL4" s="2">
        <v>2.7</v>
      </c>
      <c r="DM4" s="2">
        <v>3.1</v>
      </c>
      <c r="DN4" s="2">
        <v>3.4</v>
      </c>
      <c r="DO4" s="2">
        <v>3.6</v>
      </c>
      <c r="DP4" s="2">
        <v>3.3</v>
      </c>
      <c r="DQ4" s="2">
        <v>2.7</v>
      </c>
      <c r="DR4" s="2">
        <v>2.2999999999999998</v>
      </c>
      <c r="DS4" s="2">
        <v>2</v>
      </c>
    </row>
    <row r="5" spans="1:123" ht="30" x14ac:dyDescent="0.25">
      <c r="A5" s="2" t="s">
        <v>1184</v>
      </c>
    </row>
  </sheetData>
  <mergeCells count="123">
    <mergeCell ref="L2:L3"/>
    <mergeCell ref="M2:M3"/>
    <mergeCell ref="N2:N3"/>
    <mergeCell ref="O2:O3"/>
    <mergeCell ref="P2:P3"/>
    <mergeCell ref="Q2:Q3"/>
    <mergeCell ref="A1:DS1"/>
    <mergeCell ref="C2:C3"/>
    <mergeCell ref="D2:D3"/>
    <mergeCell ref="E2:E3"/>
    <mergeCell ref="F2:F3"/>
    <mergeCell ref="G2:G3"/>
    <mergeCell ref="H2:H3"/>
    <mergeCell ref="I2:I3"/>
    <mergeCell ref="J2:J3"/>
    <mergeCell ref="K2:K3"/>
    <mergeCell ref="X2:X3"/>
    <mergeCell ref="Y2:Y3"/>
    <mergeCell ref="Z2:Z3"/>
    <mergeCell ref="AA2:AA3"/>
    <mergeCell ref="AB2:AB3"/>
    <mergeCell ref="AC2:AC3"/>
    <mergeCell ref="R2:R3"/>
    <mergeCell ref="S2:S3"/>
    <mergeCell ref="T2:T3"/>
    <mergeCell ref="U2:U3"/>
    <mergeCell ref="V2:V3"/>
    <mergeCell ref="W2:W3"/>
    <mergeCell ref="AJ2:AJ3"/>
    <mergeCell ref="AK2:AK3"/>
    <mergeCell ref="AL2:AL3"/>
    <mergeCell ref="AM2:AM3"/>
    <mergeCell ref="AN2:AN3"/>
    <mergeCell ref="AO2:AO3"/>
    <mergeCell ref="AD2:AD3"/>
    <mergeCell ref="AE2:AE3"/>
    <mergeCell ref="AF2:AF3"/>
    <mergeCell ref="AG2:AG3"/>
    <mergeCell ref="AH2:AH3"/>
    <mergeCell ref="AI2:AI3"/>
    <mergeCell ref="AV2:AV3"/>
    <mergeCell ref="AW2:AW3"/>
    <mergeCell ref="AX2:AX3"/>
    <mergeCell ref="AY2:AY3"/>
    <mergeCell ref="AZ2:AZ3"/>
    <mergeCell ref="BA2:BA3"/>
    <mergeCell ref="AP2:AP3"/>
    <mergeCell ref="AQ2:AQ3"/>
    <mergeCell ref="AR2:AR3"/>
    <mergeCell ref="AS2:AS3"/>
    <mergeCell ref="AT2:AT3"/>
    <mergeCell ref="AU2:AU3"/>
    <mergeCell ref="BH2:BH3"/>
    <mergeCell ref="BI2:BI3"/>
    <mergeCell ref="BJ2:BJ3"/>
    <mergeCell ref="BK2:BK3"/>
    <mergeCell ref="BL2:BL3"/>
    <mergeCell ref="BM2:BM3"/>
    <mergeCell ref="BB2:BB3"/>
    <mergeCell ref="BC2:BC3"/>
    <mergeCell ref="BD2:BD3"/>
    <mergeCell ref="BE2:BE3"/>
    <mergeCell ref="BF2:BF3"/>
    <mergeCell ref="BG2:BG3"/>
    <mergeCell ref="BT2:BT3"/>
    <mergeCell ref="BU2:BU3"/>
    <mergeCell ref="BV2:BV3"/>
    <mergeCell ref="BW2:BW3"/>
    <mergeCell ref="BX2:BX3"/>
    <mergeCell ref="BY2:BY3"/>
    <mergeCell ref="BN2:BN3"/>
    <mergeCell ref="BO2:BO3"/>
    <mergeCell ref="BP2:BP3"/>
    <mergeCell ref="BQ2:BQ3"/>
    <mergeCell ref="BR2:BR3"/>
    <mergeCell ref="BS2:BS3"/>
    <mergeCell ref="CF2:CF3"/>
    <mergeCell ref="CG2:CG3"/>
    <mergeCell ref="CH2:CH3"/>
    <mergeCell ref="CI2:CI3"/>
    <mergeCell ref="CJ2:CJ3"/>
    <mergeCell ref="CK2:CK3"/>
    <mergeCell ref="BZ2:BZ3"/>
    <mergeCell ref="CA2:CA3"/>
    <mergeCell ref="CB2:CB3"/>
    <mergeCell ref="CC2:CC3"/>
    <mergeCell ref="CD2:CD3"/>
    <mergeCell ref="CE2:CE3"/>
    <mergeCell ref="CS2:CS3"/>
    <mergeCell ref="CT2:CT3"/>
    <mergeCell ref="CU2:CU3"/>
    <mergeCell ref="CV2:CV3"/>
    <mergeCell ref="CW2:CW3"/>
    <mergeCell ref="CL2:CL3"/>
    <mergeCell ref="CM2:CM3"/>
    <mergeCell ref="CN2:CN3"/>
    <mergeCell ref="CO2:CO3"/>
    <mergeCell ref="CP2:CP3"/>
    <mergeCell ref="CQ2:CQ3"/>
    <mergeCell ref="DP2:DP3"/>
    <mergeCell ref="DQ2:DQ3"/>
    <mergeCell ref="DR2:DR3"/>
    <mergeCell ref="DS2:DS3"/>
    <mergeCell ref="A4:B4"/>
    <mergeCell ref="DJ2:DJ3"/>
    <mergeCell ref="DK2:DK3"/>
    <mergeCell ref="DL2:DL3"/>
    <mergeCell ref="DM2:DM3"/>
    <mergeCell ref="DN2:DN3"/>
    <mergeCell ref="DO2:DO3"/>
    <mergeCell ref="DD2:DD3"/>
    <mergeCell ref="DE2:DE3"/>
    <mergeCell ref="DF2:DF3"/>
    <mergeCell ref="DG2:DG3"/>
    <mergeCell ref="DH2:DH3"/>
    <mergeCell ref="DI2:DI3"/>
    <mergeCell ref="CX2:CX3"/>
    <mergeCell ref="CY2:CY3"/>
    <mergeCell ref="CZ2:CZ3"/>
    <mergeCell ref="DA2:DA3"/>
    <mergeCell ref="DB2:DB3"/>
    <mergeCell ref="DC2:DC3"/>
    <mergeCell ref="CR2:CR3"/>
  </mergeCells>
  <pageMargins left="0.78740157499999996" right="0.78740157499999996" top="0.984251969" bottom="0.984251969" header="0.4921259845" footer="0.492125984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0CC9F-4206-48D2-BF2D-2679624E5253}">
  <dimension ref="A1:J123"/>
  <sheetViews>
    <sheetView workbookViewId="0">
      <selection activeCell="G2" sqref="G2"/>
    </sheetView>
  </sheetViews>
  <sheetFormatPr defaultRowHeight="15" x14ac:dyDescent="0.25"/>
  <cols>
    <col min="1" max="1" width="11.7109375" bestFit="1" customWidth="1"/>
    <col min="6" max="6" width="11.140625" bestFit="1" customWidth="1"/>
    <col min="7" max="7" width="9.140625" style="3"/>
  </cols>
  <sheetData>
    <row r="1" spans="1:10" x14ac:dyDescent="0.25">
      <c r="A1" t="s">
        <v>936</v>
      </c>
      <c r="B1" t="s">
        <v>1189</v>
      </c>
      <c r="E1" t="s">
        <v>1190</v>
      </c>
      <c r="F1" t="s">
        <v>1186</v>
      </c>
      <c r="G1" s="3" t="s">
        <v>1185</v>
      </c>
      <c r="H1" t="s">
        <v>1188</v>
      </c>
    </row>
    <row r="2" spans="1:10" x14ac:dyDescent="0.25">
      <c r="A2" t="s">
        <v>938</v>
      </c>
      <c r="B2">
        <v>96.84</v>
      </c>
      <c r="E2">
        <f>LN(B2)</f>
        <v>4.5730601320698581</v>
      </c>
      <c r="F2" cm="1">
        <f t="array" ref="F2:F122">TREND($E$2:$E$122)</f>
        <v>4.6247715730558729</v>
      </c>
      <c r="G2" s="3">
        <f>E2-F2</f>
        <v>-5.1711440986014878E-2</v>
      </c>
      <c r="H2">
        <v>-8.9412800000000001E-2</v>
      </c>
      <c r="I2" cm="1">
        <f t="array" ref="I2:I25">TREND(E2:E25)</f>
        <v>4.6542554107071101</v>
      </c>
      <c r="J2">
        <f>E2-I2</f>
        <v>-8.1195278637252066E-2</v>
      </c>
    </row>
    <row r="3" spans="1:10" x14ac:dyDescent="0.25">
      <c r="A3" t="s">
        <v>939</v>
      </c>
      <c r="B3">
        <v>98.71</v>
      </c>
      <c r="E3">
        <f t="shared" ref="E3:E66" si="0">LN(B3)</f>
        <v>4.5921862584297966</v>
      </c>
      <c r="F3">
        <v>4.6299290197602865</v>
      </c>
      <c r="G3" s="3">
        <f t="shared" ref="G3:G66" si="1">E3-F3</f>
        <v>-3.7742761330489927E-2</v>
      </c>
      <c r="H3">
        <v>-6.0916100000000001E-2</v>
      </c>
      <c r="I3">
        <v>4.6542668454263056</v>
      </c>
      <c r="J3">
        <f t="shared" ref="J3:J25" si="2">E3-I3</f>
        <v>-6.2080586996509091E-2</v>
      </c>
    </row>
    <row r="4" spans="1:10" x14ac:dyDescent="0.25">
      <c r="A4" t="s">
        <v>940</v>
      </c>
      <c r="B4">
        <v>102.41</v>
      </c>
      <c r="E4">
        <f t="shared" si="0"/>
        <v>4.628984364087346</v>
      </c>
      <c r="F4">
        <v>4.6350864664646991</v>
      </c>
      <c r="G4" s="3">
        <f t="shared" si="1"/>
        <v>-6.1021023773530914E-3</v>
      </c>
      <c r="H4">
        <v>-1.2419400000000001E-2</v>
      </c>
      <c r="I4">
        <v>4.6542782801455003</v>
      </c>
      <c r="J4">
        <f t="shared" si="2"/>
        <v>-2.5293916058154231E-2</v>
      </c>
    </row>
    <row r="5" spans="1:10" x14ac:dyDescent="0.25">
      <c r="A5" t="s">
        <v>941</v>
      </c>
      <c r="B5">
        <v>106.78</v>
      </c>
      <c r="E5">
        <f t="shared" si="0"/>
        <v>4.6707706430720402</v>
      </c>
      <c r="F5">
        <v>4.6402439131691118</v>
      </c>
      <c r="G5" s="3">
        <f t="shared" si="1"/>
        <v>3.0526729902928373E-2</v>
      </c>
      <c r="H5">
        <v>3.0772999999999998E-3</v>
      </c>
      <c r="I5">
        <v>4.6542897148646949</v>
      </c>
      <c r="J5">
        <f t="shared" si="2"/>
        <v>1.6480928207345258E-2</v>
      </c>
    </row>
    <row r="6" spans="1:10" x14ac:dyDescent="0.25">
      <c r="A6" t="s">
        <v>942</v>
      </c>
      <c r="B6">
        <v>107.68</v>
      </c>
      <c r="E6">
        <f t="shared" si="0"/>
        <v>4.6791638658964176</v>
      </c>
      <c r="F6">
        <v>4.6454013598735253</v>
      </c>
      <c r="G6" s="3">
        <f t="shared" si="1"/>
        <v>3.3762506022892325E-2</v>
      </c>
      <c r="H6">
        <v>3.5739999999999999E-3</v>
      </c>
      <c r="I6">
        <v>4.6543011495838904</v>
      </c>
      <c r="J6">
        <f t="shared" si="2"/>
        <v>2.4862716312527233E-2</v>
      </c>
    </row>
    <row r="7" spans="1:10" x14ac:dyDescent="0.25">
      <c r="A7" t="s">
        <v>943</v>
      </c>
      <c r="B7">
        <v>109.2</v>
      </c>
      <c r="E7">
        <f t="shared" si="0"/>
        <v>4.6931810633108046</v>
      </c>
      <c r="F7">
        <v>4.650558806577938</v>
      </c>
      <c r="G7" s="3">
        <f t="shared" si="1"/>
        <v>4.2622256732866681E-2</v>
      </c>
      <c r="H7">
        <v>2.5070700000000001E-2</v>
      </c>
      <c r="I7">
        <v>4.654312584303085</v>
      </c>
      <c r="J7">
        <f t="shared" si="2"/>
        <v>3.8868479007719614E-2</v>
      </c>
    </row>
    <row r="8" spans="1:10" x14ac:dyDescent="0.25">
      <c r="A8" t="s">
        <v>944</v>
      </c>
      <c r="B8">
        <v>111.34</v>
      </c>
      <c r="E8">
        <f t="shared" si="0"/>
        <v>4.7125885827553615</v>
      </c>
      <c r="F8">
        <v>4.6557162532823515</v>
      </c>
      <c r="G8" s="3">
        <f t="shared" si="1"/>
        <v>5.6872329473010019E-2</v>
      </c>
      <c r="H8">
        <v>3.7567400000000001E-2</v>
      </c>
      <c r="I8">
        <v>4.6543240190222797</v>
      </c>
      <c r="J8">
        <f t="shared" si="2"/>
        <v>5.8264563733081864E-2</v>
      </c>
    </row>
    <row r="9" spans="1:10" x14ac:dyDescent="0.25">
      <c r="A9" t="s">
        <v>945</v>
      </c>
      <c r="B9">
        <v>110.61</v>
      </c>
      <c r="E9">
        <f t="shared" si="0"/>
        <v>4.7060105009141626</v>
      </c>
      <c r="F9">
        <v>4.6608736999867642</v>
      </c>
      <c r="G9" s="3">
        <f t="shared" si="1"/>
        <v>4.5136800927398468E-2</v>
      </c>
      <c r="H9">
        <v>-6.9359000000000001E-3</v>
      </c>
      <c r="I9">
        <v>4.6543354537414752</v>
      </c>
      <c r="J9">
        <f t="shared" si="2"/>
        <v>5.1675047172687449E-2</v>
      </c>
    </row>
    <row r="10" spans="1:10" x14ac:dyDescent="0.25">
      <c r="A10" t="s">
        <v>946</v>
      </c>
      <c r="B10">
        <v>111.21</v>
      </c>
      <c r="E10">
        <f t="shared" si="0"/>
        <v>4.7114203058307504</v>
      </c>
      <c r="F10">
        <v>4.6660311466911768</v>
      </c>
      <c r="G10" s="3">
        <f t="shared" si="1"/>
        <v>4.5389159139573643E-2</v>
      </c>
      <c r="H10">
        <v>2.5609000000000001E-3</v>
      </c>
      <c r="I10">
        <v>4.6543468884606698</v>
      </c>
      <c r="J10">
        <f t="shared" si="2"/>
        <v>5.7073417370080648E-2</v>
      </c>
    </row>
    <row r="11" spans="1:10" x14ac:dyDescent="0.25">
      <c r="A11" t="s">
        <v>947</v>
      </c>
      <c r="B11">
        <v>111.62</v>
      </c>
      <c r="E11">
        <f t="shared" si="0"/>
        <v>4.7151002453602873</v>
      </c>
      <c r="F11">
        <v>4.6711885933955903</v>
      </c>
      <c r="G11" s="3">
        <f t="shared" si="1"/>
        <v>4.3911651964696929E-2</v>
      </c>
      <c r="H11">
        <v>5.0575999999999998E-3</v>
      </c>
      <c r="I11">
        <v>4.6543583231798644</v>
      </c>
      <c r="J11">
        <f t="shared" si="2"/>
        <v>6.0741922180422847E-2</v>
      </c>
    </row>
    <row r="12" spans="1:10" x14ac:dyDescent="0.25">
      <c r="A12" t="s">
        <v>948</v>
      </c>
      <c r="B12">
        <v>110.18</v>
      </c>
      <c r="E12">
        <f t="shared" si="0"/>
        <v>4.7021153920445702</v>
      </c>
      <c r="F12">
        <v>4.676346040100003</v>
      </c>
      <c r="G12" s="3">
        <f t="shared" si="1"/>
        <v>2.5769351944567198E-2</v>
      </c>
      <c r="H12">
        <v>4.5542999999999998E-3</v>
      </c>
      <c r="I12">
        <v>4.6543697578990599</v>
      </c>
      <c r="J12">
        <f t="shared" si="2"/>
        <v>4.7745634145510252E-2</v>
      </c>
    </row>
    <row r="13" spans="1:10" x14ac:dyDescent="0.25">
      <c r="A13" t="s">
        <v>949</v>
      </c>
      <c r="B13">
        <v>105.22</v>
      </c>
      <c r="E13">
        <f t="shared" si="0"/>
        <v>4.6560533963026609</v>
      </c>
      <c r="F13">
        <v>4.6815034868044156</v>
      </c>
      <c r="G13" s="3">
        <f t="shared" si="1"/>
        <v>-2.545009050175473E-2</v>
      </c>
      <c r="H13">
        <v>-2.6949000000000001E-2</v>
      </c>
      <c r="I13">
        <v>4.6543811926182546</v>
      </c>
      <c r="J13">
        <f t="shared" si="2"/>
        <v>1.6722036844063481E-3</v>
      </c>
    </row>
    <row r="14" spans="1:10" x14ac:dyDescent="0.25">
      <c r="A14" t="s">
        <v>950</v>
      </c>
      <c r="B14">
        <v>101.47</v>
      </c>
      <c r="E14">
        <f t="shared" si="0"/>
        <v>4.6197631882909915</v>
      </c>
      <c r="F14">
        <v>4.6866609335088292</v>
      </c>
      <c r="G14" s="3">
        <f t="shared" si="1"/>
        <v>-6.6897745217837645E-2</v>
      </c>
      <c r="H14">
        <v>-5.94523E-2</v>
      </c>
      <c r="I14">
        <v>4.6543926273374492</v>
      </c>
      <c r="J14">
        <f t="shared" si="2"/>
        <v>-3.4629439046457655E-2</v>
      </c>
    </row>
    <row r="15" spans="1:10" x14ac:dyDescent="0.25">
      <c r="A15" t="s">
        <v>951</v>
      </c>
      <c r="B15">
        <v>100.23</v>
      </c>
      <c r="E15">
        <f t="shared" si="0"/>
        <v>4.6074675450367746</v>
      </c>
      <c r="F15">
        <v>4.6918183802132418</v>
      </c>
      <c r="G15" s="3">
        <f t="shared" si="1"/>
        <v>-8.4350835176467243E-2</v>
      </c>
      <c r="H15">
        <v>-5.3955599999999999E-2</v>
      </c>
      <c r="I15">
        <v>4.6544040620566447</v>
      </c>
      <c r="J15">
        <f t="shared" si="2"/>
        <v>-4.6936517019870116E-2</v>
      </c>
    </row>
    <row r="16" spans="1:10" x14ac:dyDescent="0.25">
      <c r="A16" t="s">
        <v>952</v>
      </c>
      <c r="B16">
        <v>97.89</v>
      </c>
      <c r="E16">
        <f t="shared" si="0"/>
        <v>4.5838443992733389</v>
      </c>
      <c r="F16">
        <v>4.6969758269176554</v>
      </c>
      <c r="G16" s="3">
        <f t="shared" si="1"/>
        <v>-0.1131314276443165</v>
      </c>
      <c r="H16">
        <v>-2.7458900000000001E-2</v>
      </c>
      <c r="I16">
        <v>4.6544154967758393</v>
      </c>
      <c r="J16">
        <f t="shared" si="2"/>
        <v>-7.0571097502500457E-2</v>
      </c>
    </row>
    <row r="17" spans="1:10" x14ac:dyDescent="0.25">
      <c r="A17" t="s">
        <v>953</v>
      </c>
      <c r="B17">
        <v>99.87</v>
      </c>
      <c r="E17">
        <f t="shared" si="0"/>
        <v>4.6038693402550432</v>
      </c>
      <c r="F17">
        <v>4.702133273622068</v>
      </c>
      <c r="G17" s="3">
        <f t="shared" si="1"/>
        <v>-9.8263933367024769E-2</v>
      </c>
      <c r="H17">
        <v>-1.9621999999999999E-3</v>
      </c>
      <c r="I17">
        <v>4.6544269314950339</v>
      </c>
      <c r="J17">
        <f t="shared" si="2"/>
        <v>-5.0557591239990707E-2</v>
      </c>
    </row>
    <row r="18" spans="1:10" x14ac:dyDescent="0.25">
      <c r="A18" t="s">
        <v>954</v>
      </c>
      <c r="B18">
        <v>100.59</v>
      </c>
      <c r="E18">
        <f t="shared" si="0"/>
        <v>4.6110528491462466</v>
      </c>
      <c r="F18">
        <v>4.7072907203264807</v>
      </c>
      <c r="G18" s="3">
        <f t="shared" si="1"/>
        <v>-9.623787118023408E-2</v>
      </c>
      <c r="H18">
        <v>8.0534499999999995E-2</v>
      </c>
      <c r="I18">
        <v>4.6544383662142286</v>
      </c>
      <c r="J18">
        <f t="shared" si="2"/>
        <v>-4.3385517067981993E-2</v>
      </c>
    </row>
    <row r="19" spans="1:10" x14ac:dyDescent="0.25">
      <c r="A19" t="s">
        <v>955</v>
      </c>
      <c r="B19">
        <v>104.68</v>
      </c>
      <c r="E19">
        <f t="shared" si="0"/>
        <v>4.6509080776619456</v>
      </c>
      <c r="F19">
        <v>4.7124481670308942</v>
      </c>
      <c r="G19" s="3">
        <f t="shared" si="1"/>
        <v>-6.1540089368948614E-2</v>
      </c>
      <c r="H19">
        <v>-9.9687999999999999E-3</v>
      </c>
      <c r="I19">
        <v>4.6544498009334241</v>
      </c>
      <c r="J19">
        <f t="shared" si="2"/>
        <v>-3.541723271478503E-3</v>
      </c>
    </row>
    <row r="20" spans="1:10" x14ac:dyDescent="0.25">
      <c r="A20" t="s">
        <v>956</v>
      </c>
      <c r="B20">
        <v>104.7</v>
      </c>
      <c r="E20">
        <f t="shared" si="0"/>
        <v>4.6510991178764911</v>
      </c>
      <c r="F20">
        <v>4.7176056137353068</v>
      </c>
      <c r="G20" s="3">
        <f t="shared" si="1"/>
        <v>-6.650649585881574E-2</v>
      </c>
      <c r="H20">
        <v>-4.1472099999999998E-2</v>
      </c>
      <c r="I20">
        <v>4.6544612356526187</v>
      </c>
      <c r="J20">
        <f t="shared" si="2"/>
        <v>-3.3621177761276044E-3</v>
      </c>
    </row>
    <row r="21" spans="1:10" x14ac:dyDescent="0.25">
      <c r="A21" t="s">
        <v>957</v>
      </c>
      <c r="B21">
        <v>108.46</v>
      </c>
      <c r="E21">
        <f t="shared" si="0"/>
        <v>4.6863814414129141</v>
      </c>
      <c r="F21">
        <v>4.7227630604397195</v>
      </c>
      <c r="G21" s="3">
        <f t="shared" si="1"/>
        <v>-3.6381619026805367E-2</v>
      </c>
      <c r="H21">
        <v>3.3024600000000001E-2</v>
      </c>
      <c r="I21">
        <v>4.6544726703718133</v>
      </c>
      <c r="J21">
        <f t="shared" si="2"/>
        <v>3.1908771041100792E-2</v>
      </c>
    </row>
    <row r="22" spans="1:10" x14ac:dyDescent="0.25">
      <c r="A22" t="s">
        <v>958</v>
      </c>
      <c r="B22">
        <v>110.34</v>
      </c>
      <c r="E22">
        <f t="shared" si="0"/>
        <v>4.7035665078442843</v>
      </c>
      <c r="F22">
        <v>4.727920507144133</v>
      </c>
      <c r="G22" s="3">
        <f t="shared" si="1"/>
        <v>-2.4353999299848716E-2</v>
      </c>
      <c r="H22">
        <v>5.7521299999999997E-2</v>
      </c>
      <c r="I22">
        <v>4.6544841050910088</v>
      </c>
      <c r="J22">
        <f t="shared" si="2"/>
        <v>4.9082402753275467E-2</v>
      </c>
    </row>
    <row r="23" spans="1:10" x14ac:dyDescent="0.25">
      <c r="A23" t="s">
        <v>959</v>
      </c>
      <c r="B23">
        <v>107.51</v>
      </c>
      <c r="E23">
        <f t="shared" si="0"/>
        <v>4.6775838664971365</v>
      </c>
      <c r="F23">
        <v>4.7330779538485457</v>
      </c>
      <c r="G23" s="3">
        <f t="shared" si="1"/>
        <v>-5.5494087351409149E-2</v>
      </c>
      <c r="H23">
        <v>4.2018E-2</v>
      </c>
      <c r="I23">
        <v>4.6544955398102035</v>
      </c>
      <c r="J23">
        <f t="shared" si="2"/>
        <v>2.3088326686933058E-2</v>
      </c>
    </row>
    <row r="24" spans="1:10" x14ac:dyDescent="0.25">
      <c r="A24" t="s">
        <v>960</v>
      </c>
      <c r="B24">
        <v>105.99</v>
      </c>
      <c r="E24">
        <f t="shared" si="0"/>
        <v>4.6633447500391636</v>
      </c>
      <c r="F24">
        <v>4.7382354005529592</v>
      </c>
      <c r="G24" s="3">
        <f t="shared" si="1"/>
        <v>-7.489065051379562E-2</v>
      </c>
      <c r="H24">
        <v>-4.8529999999999998E-4</v>
      </c>
      <c r="I24">
        <v>4.6545069745293981</v>
      </c>
      <c r="J24">
        <f t="shared" si="2"/>
        <v>8.8377755097654997E-3</v>
      </c>
    </row>
    <row r="25" spans="1:10" x14ac:dyDescent="0.25">
      <c r="A25" t="s">
        <v>961</v>
      </c>
      <c r="B25">
        <v>100.06</v>
      </c>
      <c r="E25">
        <f t="shared" si="0"/>
        <v>4.6057700060600588</v>
      </c>
      <c r="F25">
        <v>4.7433928472573719</v>
      </c>
      <c r="G25" s="3">
        <f t="shared" si="1"/>
        <v>-0.13762284119731305</v>
      </c>
      <c r="H25">
        <v>-2.1988600000000001E-2</v>
      </c>
      <c r="I25">
        <v>4.6545184092485936</v>
      </c>
      <c r="J25">
        <f t="shared" si="2"/>
        <v>-4.8748403188534795E-2</v>
      </c>
    </row>
    <row r="26" spans="1:10" x14ac:dyDescent="0.25">
      <c r="A26" t="s">
        <v>962</v>
      </c>
      <c r="B26">
        <v>101.27</v>
      </c>
      <c r="E26">
        <f t="shared" si="0"/>
        <v>4.6177902173441936</v>
      </c>
      <c r="F26">
        <v>4.7485502939617845</v>
      </c>
      <c r="G26" s="3">
        <f t="shared" si="1"/>
        <v>-0.13076007661759093</v>
      </c>
    </row>
    <row r="27" spans="1:10" x14ac:dyDescent="0.25">
      <c r="A27" t="s">
        <v>963</v>
      </c>
      <c r="B27">
        <v>103.63</v>
      </c>
      <c r="E27">
        <f t="shared" si="0"/>
        <v>4.6408268631961258</v>
      </c>
      <c r="F27">
        <v>4.7537077406661981</v>
      </c>
      <c r="G27" s="3">
        <f t="shared" si="1"/>
        <v>-0.11288087747007225</v>
      </c>
    </row>
    <row r="28" spans="1:10" x14ac:dyDescent="0.25">
      <c r="A28" t="s">
        <v>964</v>
      </c>
      <c r="B28">
        <v>105.25</v>
      </c>
      <c r="E28">
        <f t="shared" si="0"/>
        <v>4.6563384725624912</v>
      </c>
      <c r="F28">
        <v>4.7588651873706107</v>
      </c>
      <c r="G28" s="3">
        <f t="shared" si="1"/>
        <v>-0.10252671480811948</v>
      </c>
    </row>
    <row r="29" spans="1:10" x14ac:dyDescent="0.25">
      <c r="A29" t="s">
        <v>965</v>
      </c>
      <c r="B29">
        <v>107.49</v>
      </c>
      <c r="E29">
        <f t="shared" si="0"/>
        <v>4.6773978199849724</v>
      </c>
      <c r="F29">
        <v>4.7640226340750234</v>
      </c>
      <c r="G29" s="3">
        <f t="shared" si="1"/>
        <v>-8.6624814090050961E-2</v>
      </c>
    </row>
    <row r="30" spans="1:10" x14ac:dyDescent="0.25">
      <c r="A30" t="s">
        <v>966</v>
      </c>
      <c r="B30">
        <v>104.31</v>
      </c>
      <c r="E30">
        <f t="shared" si="0"/>
        <v>4.6473672346878798</v>
      </c>
      <c r="F30">
        <v>4.7691800807794369</v>
      </c>
      <c r="G30" s="3">
        <f t="shared" si="1"/>
        <v>-0.12181284609155707</v>
      </c>
    </row>
    <row r="31" spans="1:10" x14ac:dyDescent="0.25">
      <c r="A31" t="s">
        <v>967</v>
      </c>
      <c r="B31">
        <v>97.05</v>
      </c>
      <c r="E31">
        <f t="shared" si="0"/>
        <v>4.5752263096150196</v>
      </c>
      <c r="F31">
        <v>4.7743375274838495</v>
      </c>
      <c r="G31" s="3">
        <f t="shared" si="1"/>
        <v>-0.1991112178688299</v>
      </c>
    </row>
    <row r="32" spans="1:10" x14ac:dyDescent="0.25">
      <c r="A32" t="s">
        <v>968</v>
      </c>
      <c r="B32">
        <v>97.7</v>
      </c>
      <c r="E32">
        <f t="shared" si="0"/>
        <v>4.5819015590487373</v>
      </c>
      <c r="F32">
        <v>4.7794949741882631</v>
      </c>
      <c r="G32" s="3">
        <f t="shared" si="1"/>
        <v>-0.19759341513952577</v>
      </c>
    </row>
    <row r="33" spans="1:7" x14ac:dyDescent="0.25">
      <c r="A33" t="s">
        <v>969</v>
      </c>
      <c r="B33">
        <v>102.1</v>
      </c>
      <c r="E33">
        <f t="shared" si="0"/>
        <v>4.6259527251706194</v>
      </c>
      <c r="F33">
        <v>4.7846524208926757</v>
      </c>
      <c r="G33" s="3">
        <f t="shared" si="1"/>
        <v>-0.15869969572205633</v>
      </c>
    </row>
    <row r="34" spans="1:7" x14ac:dyDescent="0.25">
      <c r="A34" t="s">
        <v>970</v>
      </c>
      <c r="B34">
        <v>105.37</v>
      </c>
      <c r="E34">
        <f t="shared" si="0"/>
        <v>4.6574779656114362</v>
      </c>
      <c r="F34">
        <v>4.7898098675970884</v>
      </c>
      <c r="G34" s="3">
        <f t="shared" si="1"/>
        <v>-0.13233190198565215</v>
      </c>
    </row>
    <row r="35" spans="1:7" x14ac:dyDescent="0.25">
      <c r="A35" t="s">
        <v>971</v>
      </c>
      <c r="B35">
        <v>108.97</v>
      </c>
      <c r="E35">
        <f t="shared" si="0"/>
        <v>4.6910726149887951</v>
      </c>
      <c r="F35">
        <v>4.7949673143015019</v>
      </c>
      <c r="G35" s="3">
        <f t="shared" si="1"/>
        <v>-0.10389469931270678</v>
      </c>
    </row>
    <row r="36" spans="1:7" x14ac:dyDescent="0.25">
      <c r="A36" t="s">
        <v>972</v>
      </c>
      <c r="B36">
        <v>111.18</v>
      </c>
      <c r="E36">
        <f t="shared" si="0"/>
        <v>4.7111505095253232</v>
      </c>
      <c r="F36">
        <v>4.8001247610059146</v>
      </c>
      <c r="G36" s="3">
        <f t="shared" si="1"/>
        <v>-8.8974251480591349E-2</v>
      </c>
    </row>
    <row r="37" spans="1:7" x14ac:dyDescent="0.25">
      <c r="A37" t="s">
        <v>973</v>
      </c>
      <c r="B37">
        <v>109.33</v>
      </c>
      <c r="E37">
        <f t="shared" si="0"/>
        <v>4.6943708314463937</v>
      </c>
      <c r="F37">
        <v>4.8052822077103272</v>
      </c>
      <c r="G37" s="3">
        <f t="shared" si="1"/>
        <v>-0.11091137626393355</v>
      </c>
    </row>
    <row r="38" spans="1:7" x14ac:dyDescent="0.25">
      <c r="A38" t="s">
        <v>974</v>
      </c>
      <c r="B38">
        <v>107.18</v>
      </c>
      <c r="E38">
        <f t="shared" si="0"/>
        <v>4.6745096640667043</v>
      </c>
      <c r="F38">
        <v>4.8104396544147408</v>
      </c>
      <c r="G38" s="3">
        <f t="shared" si="1"/>
        <v>-0.13592999034803643</v>
      </c>
    </row>
    <row r="39" spans="1:7" x14ac:dyDescent="0.25">
      <c r="A39" t="s">
        <v>975</v>
      </c>
      <c r="B39">
        <v>112.39</v>
      </c>
      <c r="E39">
        <f t="shared" si="0"/>
        <v>4.7219749655301761</v>
      </c>
      <c r="F39">
        <v>4.8155971011191534</v>
      </c>
      <c r="G39" s="3">
        <f t="shared" si="1"/>
        <v>-9.3622135588977251E-2</v>
      </c>
    </row>
    <row r="40" spans="1:7" x14ac:dyDescent="0.25">
      <c r="A40" t="s">
        <v>976</v>
      </c>
      <c r="B40">
        <v>111.77</v>
      </c>
      <c r="E40">
        <f t="shared" si="0"/>
        <v>4.7164431883975197</v>
      </c>
      <c r="F40">
        <v>4.8207545478235669</v>
      </c>
      <c r="G40" s="3">
        <f t="shared" si="1"/>
        <v>-0.10431135942604719</v>
      </c>
    </row>
    <row r="41" spans="1:7" x14ac:dyDescent="0.25">
      <c r="A41" t="s">
        <v>977</v>
      </c>
      <c r="B41">
        <v>111.94</v>
      </c>
      <c r="E41">
        <f t="shared" si="0"/>
        <v>4.7179630134632138</v>
      </c>
      <c r="F41">
        <v>4.8259119945279796</v>
      </c>
      <c r="G41" s="3">
        <f t="shared" si="1"/>
        <v>-0.1079489810647658</v>
      </c>
    </row>
    <row r="42" spans="1:7" x14ac:dyDescent="0.25">
      <c r="A42" t="s">
        <v>978</v>
      </c>
      <c r="B42">
        <v>117.13</v>
      </c>
      <c r="E42">
        <f t="shared" si="0"/>
        <v>4.7632844290817831</v>
      </c>
      <c r="F42">
        <v>4.8310694412323922</v>
      </c>
      <c r="G42" s="3">
        <f t="shared" si="1"/>
        <v>-6.778501215060917E-2</v>
      </c>
    </row>
    <row r="43" spans="1:7" x14ac:dyDescent="0.25">
      <c r="A43" t="s">
        <v>979</v>
      </c>
      <c r="B43">
        <v>116.63</v>
      </c>
      <c r="E43">
        <f t="shared" si="0"/>
        <v>4.7590065307029583</v>
      </c>
      <c r="F43">
        <v>4.8362268879368058</v>
      </c>
      <c r="G43" s="3">
        <f t="shared" si="1"/>
        <v>-7.7220357233847459E-2</v>
      </c>
    </row>
    <row r="44" spans="1:7" x14ac:dyDescent="0.25">
      <c r="A44" t="s">
        <v>980</v>
      </c>
      <c r="B44">
        <v>117.73</v>
      </c>
      <c r="E44">
        <f t="shared" si="0"/>
        <v>4.7683938670901052</v>
      </c>
      <c r="F44">
        <v>4.8413843346412184</v>
      </c>
      <c r="G44" s="3">
        <f t="shared" si="1"/>
        <v>-7.2990467551113269E-2</v>
      </c>
    </row>
    <row r="45" spans="1:7" x14ac:dyDescent="0.25">
      <c r="A45" t="s">
        <v>981</v>
      </c>
      <c r="B45">
        <v>121.37</v>
      </c>
      <c r="E45">
        <f t="shared" si="0"/>
        <v>4.7988437311182706</v>
      </c>
      <c r="F45">
        <v>4.8465417813456311</v>
      </c>
      <c r="G45" s="3">
        <f t="shared" si="1"/>
        <v>-4.7698050227360511E-2</v>
      </c>
    </row>
    <row r="46" spans="1:7" x14ac:dyDescent="0.25">
      <c r="A46" t="s">
        <v>982</v>
      </c>
      <c r="B46">
        <v>126.08</v>
      </c>
      <c r="E46">
        <f t="shared" si="0"/>
        <v>4.8369166261095691</v>
      </c>
      <c r="F46">
        <v>4.8516992280500446</v>
      </c>
      <c r="G46" s="3">
        <f t="shared" si="1"/>
        <v>-1.4782601940475537E-2</v>
      </c>
    </row>
    <row r="47" spans="1:7" x14ac:dyDescent="0.25">
      <c r="A47" t="s">
        <v>983</v>
      </c>
      <c r="B47">
        <v>131.47999999999999</v>
      </c>
      <c r="E47">
        <f t="shared" si="0"/>
        <v>4.8788547487960185</v>
      </c>
      <c r="F47">
        <v>4.8568566747544573</v>
      </c>
      <c r="G47" s="3">
        <f t="shared" si="1"/>
        <v>2.1998074041561289E-2</v>
      </c>
    </row>
    <row r="48" spans="1:7" x14ac:dyDescent="0.25">
      <c r="A48" t="s">
        <v>984</v>
      </c>
      <c r="B48">
        <v>134.01</v>
      </c>
      <c r="E48">
        <f t="shared" si="0"/>
        <v>4.8979144240321366</v>
      </c>
      <c r="F48">
        <v>4.8620141214588708</v>
      </c>
      <c r="G48" s="3">
        <f t="shared" si="1"/>
        <v>3.5900302573265819E-2</v>
      </c>
    </row>
    <row r="49" spans="1:7" x14ac:dyDescent="0.25">
      <c r="A49" t="s">
        <v>985</v>
      </c>
      <c r="B49">
        <v>137.5</v>
      </c>
      <c r="E49">
        <f t="shared" si="0"/>
        <v>4.9236239171066263</v>
      </c>
      <c r="F49">
        <v>4.8671715681632834</v>
      </c>
      <c r="G49" s="3">
        <f t="shared" si="1"/>
        <v>5.6452348943342834E-2</v>
      </c>
    </row>
    <row r="50" spans="1:7" x14ac:dyDescent="0.25">
      <c r="A50" t="s">
        <v>986</v>
      </c>
      <c r="B50">
        <v>141.72999999999999</v>
      </c>
      <c r="E50">
        <f t="shared" si="0"/>
        <v>4.9539238391788141</v>
      </c>
      <c r="F50">
        <v>4.8723290148676961</v>
      </c>
      <c r="G50" s="3">
        <f t="shared" si="1"/>
        <v>8.1594824311117975E-2</v>
      </c>
    </row>
    <row r="51" spans="1:7" x14ac:dyDescent="0.25">
      <c r="A51" t="s">
        <v>987</v>
      </c>
      <c r="B51">
        <v>149.93</v>
      </c>
      <c r="E51">
        <f t="shared" si="0"/>
        <v>5.0101685185068119</v>
      </c>
      <c r="F51">
        <v>4.8774864615721096</v>
      </c>
      <c r="G51" s="3">
        <f t="shared" si="1"/>
        <v>0.13268205693470225</v>
      </c>
    </row>
    <row r="52" spans="1:7" x14ac:dyDescent="0.25">
      <c r="A52" t="s">
        <v>988</v>
      </c>
      <c r="B52">
        <v>157.66999999999999</v>
      </c>
      <c r="E52">
        <f t="shared" si="0"/>
        <v>5.0605042412493901</v>
      </c>
      <c r="F52">
        <v>4.8826439082765223</v>
      </c>
      <c r="G52" s="3">
        <f t="shared" si="1"/>
        <v>0.17786033297286785</v>
      </c>
    </row>
    <row r="53" spans="1:7" x14ac:dyDescent="0.25">
      <c r="A53" t="s">
        <v>989</v>
      </c>
      <c r="B53">
        <v>144.59</v>
      </c>
      <c r="E53">
        <f t="shared" si="0"/>
        <v>4.9739021510400345</v>
      </c>
      <c r="F53">
        <v>4.8878013549809349</v>
      </c>
      <c r="G53" s="3">
        <f t="shared" si="1"/>
        <v>8.6100796059099594E-2</v>
      </c>
    </row>
    <row r="54" spans="1:7" x14ac:dyDescent="0.25">
      <c r="A54" t="s">
        <v>990</v>
      </c>
      <c r="B54">
        <v>128.63</v>
      </c>
      <c r="E54">
        <f t="shared" si="0"/>
        <v>4.8569400660906243</v>
      </c>
      <c r="F54">
        <v>4.8929588016853485</v>
      </c>
      <c r="G54" s="3">
        <f t="shared" si="1"/>
        <v>-3.6018735594724127E-2</v>
      </c>
    </row>
    <row r="55" spans="1:7" x14ac:dyDescent="0.25">
      <c r="A55" t="s">
        <v>991</v>
      </c>
      <c r="B55">
        <v>137.83000000000001</v>
      </c>
      <c r="E55">
        <f t="shared" si="0"/>
        <v>4.9260210417063472</v>
      </c>
      <c r="F55">
        <v>4.8981162483897611</v>
      </c>
      <c r="G55" s="3">
        <f t="shared" si="1"/>
        <v>2.7904793316586129E-2</v>
      </c>
    </row>
    <row r="56" spans="1:7" x14ac:dyDescent="0.25">
      <c r="A56" t="s">
        <v>992</v>
      </c>
      <c r="B56">
        <v>151.41</v>
      </c>
      <c r="E56">
        <f t="shared" si="0"/>
        <v>5.019991389020281</v>
      </c>
      <c r="F56">
        <v>4.9032736950941747</v>
      </c>
      <c r="G56" s="3">
        <f t="shared" si="1"/>
        <v>0.11671769392610631</v>
      </c>
    </row>
    <row r="57" spans="1:7" x14ac:dyDescent="0.25">
      <c r="A57" t="s">
        <v>993</v>
      </c>
      <c r="B57">
        <v>162.94999999999999</v>
      </c>
      <c r="E57">
        <f t="shared" si="0"/>
        <v>5.0934434052835709</v>
      </c>
      <c r="F57">
        <v>4.9084311417985873</v>
      </c>
      <c r="G57" s="3">
        <f t="shared" si="1"/>
        <v>0.18501226348498356</v>
      </c>
    </row>
    <row r="58" spans="1:7" x14ac:dyDescent="0.25">
      <c r="A58" t="s">
        <v>994</v>
      </c>
      <c r="B58">
        <v>166.13</v>
      </c>
      <c r="E58">
        <f t="shared" si="0"/>
        <v>5.1127706143983875</v>
      </c>
      <c r="F58">
        <v>4.913588588503</v>
      </c>
      <c r="G58" s="3">
        <f t="shared" si="1"/>
        <v>0.19918202589538758</v>
      </c>
    </row>
    <row r="59" spans="1:7" x14ac:dyDescent="0.25">
      <c r="A59" t="s">
        <v>995</v>
      </c>
      <c r="B59">
        <v>169.49</v>
      </c>
      <c r="E59">
        <f t="shared" si="0"/>
        <v>5.1327939280299635</v>
      </c>
      <c r="F59">
        <v>4.9187460352074135</v>
      </c>
      <c r="G59" s="3">
        <f t="shared" si="1"/>
        <v>0.21404789282254999</v>
      </c>
    </row>
    <row r="60" spans="1:7" x14ac:dyDescent="0.25">
      <c r="A60" t="s">
        <v>996</v>
      </c>
      <c r="B60">
        <v>174.69</v>
      </c>
      <c r="E60">
        <f t="shared" si="0"/>
        <v>5.1630129745171383</v>
      </c>
      <c r="F60">
        <v>4.9239034819118261</v>
      </c>
      <c r="G60" s="3">
        <f t="shared" si="1"/>
        <v>0.23910949260531211</v>
      </c>
    </row>
    <row r="61" spans="1:7" x14ac:dyDescent="0.25">
      <c r="A61" t="s">
        <v>997</v>
      </c>
      <c r="B61">
        <v>175.61</v>
      </c>
      <c r="E61">
        <f t="shared" si="0"/>
        <v>5.1682656271877629</v>
      </c>
      <c r="F61">
        <v>4.9290609286162388</v>
      </c>
      <c r="G61" s="3">
        <f t="shared" si="1"/>
        <v>0.23920469857152415</v>
      </c>
    </row>
    <row r="62" spans="1:7" x14ac:dyDescent="0.25">
      <c r="A62" t="s">
        <v>998</v>
      </c>
      <c r="B62">
        <v>179.48</v>
      </c>
      <c r="E62">
        <f t="shared" si="0"/>
        <v>5.1900637811077823</v>
      </c>
      <c r="F62">
        <v>4.9342183753206523</v>
      </c>
      <c r="G62" s="3">
        <f t="shared" si="1"/>
        <v>0.25584540578713</v>
      </c>
    </row>
    <row r="63" spans="1:7" x14ac:dyDescent="0.25">
      <c r="A63" t="s">
        <v>999</v>
      </c>
      <c r="B63">
        <v>183.09</v>
      </c>
      <c r="E63">
        <f t="shared" si="0"/>
        <v>5.209977835224513</v>
      </c>
      <c r="F63">
        <v>4.939375822025065</v>
      </c>
      <c r="G63" s="3">
        <f t="shared" si="1"/>
        <v>0.27060201319944799</v>
      </c>
    </row>
    <row r="64" spans="1:7" x14ac:dyDescent="0.25">
      <c r="A64" t="s">
        <v>1000</v>
      </c>
      <c r="B64">
        <v>185.32</v>
      </c>
      <c r="E64">
        <f t="shared" si="0"/>
        <v>5.2220840605484478</v>
      </c>
      <c r="F64">
        <v>4.9445332687294776</v>
      </c>
      <c r="G64" s="3">
        <f t="shared" si="1"/>
        <v>0.27755079181897013</v>
      </c>
    </row>
    <row r="65" spans="1:7" x14ac:dyDescent="0.25">
      <c r="A65" t="s">
        <v>1001</v>
      </c>
      <c r="B65">
        <v>185.41</v>
      </c>
      <c r="E65">
        <f t="shared" si="0"/>
        <v>5.2225695891097619</v>
      </c>
      <c r="F65">
        <v>4.9496907154338912</v>
      </c>
      <c r="G65" s="3">
        <f t="shared" si="1"/>
        <v>0.27287887367587071</v>
      </c>
    </row>
    <row r="66" spans="1:7" x14ac:dyDescent="0.25">
      <c r="A66" t="s">
        <v>1002</v>
      </c>
      <c r="B66">
        <v>184.39</v>
      </c>
      <c r="E66">
        <f t="shared" si="0"/>
        <v>5.2170530797170729</v>
      </c>
      <c r="F66">
        <v>4.9548481621383038</v>
      </c>
      <c r="G66" s="3">
        <f t="shared" si="1"/>
        <v>0.26220491757876907</v>
      </c>
    </row>
    <row r="67" spans="1:7" x14ac:dyDescent="0.25">
      <c r="A67" t="s">
        <v>1003</v>
      </c>
      <c r="B67">
        <v>184.87</v>
      </c>
      <c r="E67">
        <f t="shared" ref="E67:E123" si="3">LN(B67)</f>
        <v>5.2196528753643543</v>
      </c>
      <c r="F67">
        <v>4.9600056088427174</v>
      </c>
      <c r="G67" s="3">
        <f t="shared" ref="G67:G123" si="4">E67-F67</f>
        <v>0.25964726652163694</v>
      </c>
    </row>
    <row r="68" spans="1:7" x14ac:dyDescent="0.25">
      <c r="A68" t="s">
        <v>1004</v>
      </c>
      <c r="B68">
        <v>183.28</v>
      </c>
      <c r="E68">
        <f t="shared" si="3"/>
        <v>5.2110150381452405</v>
      </c>
      <c r="F68">
        <v>4.96516305554713</v>
      </c>
      <c r="G68" s="3">
        <f t="shared" si="4"/>
        <v>0.24585198259811047</v>
      </c>
    </row>
    <row r="69" spans="1:7" x14ac:dyDescent="0.25">
      <c r="A69" t="s">
        <v>1005</v>
      </c>
      <c r="B69">
        <v>186.85</v>
      </c>
      <c r="E69">
        <f t="shared" si="3"/>
        <v>5.2303061559314932</v>
      </c>
      <c r="F69">
        <v>4.9703205022515426</v>
      </c>
      <c r="G69" s="3">
        <f t="shared" si="4"/>
        <v>0.25998565367995052</v>
      </c>
    </row>
    <row r="70" spans="1:7" x14ac:dyDescent="0.25">
      <c r="A70" t="s">
        <v>1006</v>
      </c>
      <c r="B70">
        <v>189.01</v>
      </c>
      <c r="E70">
        <f t="shared" si="3"/>
        <v>5.2417999237128647</v>
      </c>
      <c r="F70">
        <v>4.9754779489559562</v>
      </c>
      <c r="G70" s="3">
        <f t="shared" si="4"/>
        <v>0.26632197475690855</v>
      </c>
    </row>
    <row r="71" spans="1:7" x14ac:dyDescent="0.25">
      <c r="A71" t="s">
        <v>1007</v>
      </c>
      <c r="B71">
        <v>200.26</v>
      </c>
      <c r="E71">
        <f t="shared" si="3"/>
        <v>5.2996165222796563</v>
      </c>
      <c r="F71">
        <v>4.9806353956603688</v>
      </c>
      <c r="G71" s="3">
        <f t="shared" si="4"/>
        <v>0.31898112661928746</v>
      </c>
    </row>
    <row r="72" spans="1:7" x14ac:dyDescent="0.25">
      <c r="A72" t="s">
        <v>1008</v>
      </c>
      <c r="B72">
        <v>197.46</v>
      </c>
      <c r="E72">
        <f t="shared" si="3"/>
        <v>5.2855360321833036</v>
      </c>
      <c r="F72">
        <v>4.9857928423647824</v>
      </c>
      <c r="G72" s="3">
        <f t="shared" si="4"/>
        <v>0.29974318981852122</v>
      </c>
    </row>
    <row r="73" spans="1:7" x14ac:dyDescent="0.25">
      <c r="A73" t="s">
        <v>1009</v>
      </c>
      <c r="B73">
        <v>195.43</v>
      </c>
      <c r="E73">
        <f t="shared" si="3"/>
        <v>5.2752022590419854</v>
      </c>
      <c r="F73">
        <v>4.990950289069195</v>
      </c>
      <c r="G73" s="3">
        <f t="shared" si="4"/>
        <v>0.28425196997279034</v>
      </c>
    </row>
    <row r="74" spans="1:7" x14ac:dyDescent="0.25">
      <c r="A74" t="s">
        <v>1010</v>
      </c>
      <c r="B74">
        <v>196.09</v>
      </c>
      <c r="E74">
        <f t="shared" si="3"/>
        <v>5.278573737511425</v>
      </c>
      <c r="F74">
        <v>4.9961077357736077</v>
      </c>
      <c r="G74" s="3">
        <f t="shared" si="4"/>
        <v>0.28246600173781733</v>
      </c>
    </row>
    <row r="75" spans="1:7" x14ac:dyDescent="0.25">
      <c r="A75" t="s">
        <v>1011</v>
      </c>
      <c r="B75">
        <v>187.48</v>
      </c>
      <c r="E75">
        <f t="shared" si="3"/>
        <v>5.2336721730545053</v>
      </c>
      <c r="F75">
        <v>5.0012651824780212</v>
      </c>
      <c r="G75" s="3">
        <f t="shared" si="4"/>
        <v>0.23240699057648406</v>
      </c>
    </row>
    <row r="76" spans="1:7" x14ac:dyDescent="0.25">
      <c r="A76" t="s">
        <v>1012</v>
      </c>
      <c r="B76">
        <v>183.1</v>
      </c>
      <c r="E76">
        <f t="shared" si="3"/>
        <v>5.2100324516804646</v>
      </c>
      <c r="F76">
        <v>5.0064226291824339</v>
      </c>
      <c r="G76" s="3">
        <f t="shared" si="4"/>
        <v>0.20360982249803072</v>
      </c>
    </row>
    <row r="77" spans="1:7" x14ac:dyDescent="0.25">
      <c r="A77" t="s">
        <v>1013</v>
      </c>
      <c r="B77">
        <v>182.75</v>
      </c>
      <c r="E77">
        <f t="shared" si="3"/>
        <v>5.2081190986298882</v>
      </c>
      <c r="F77">
        <v>5.0115800758868465</v>
      </c>
      <c r="G77" s="3">
        <f t="shared" si="4"/>
        <v>0.19653902274304169</v>
      </c>
    </row>
    <row r="78" spans="1:7" x14ac:dyDescent="0.25">
      <c r="A78" t="s">
        <v>1014</v>
      </c>
      <c r="B78">
        <v>177.17</v>
      </c>
      <c r="E78">
        <f t="shared" si="3"/>
        <v>5.1771097236123458</v>
      </c>
      <c r="F78">
        <v>5.01673752259126</v>
      </c>
      <c r="G78" s="3">
        <f t="shared" si="4"/>
        <v>0.16037220102108574</v>
      </c>
    </row>
    <row r="79" spans="1:7" x14ac:dyDescent="0.25">
      <c r="A79" t="s">
        <v>1015</v>
      </c>
      <c r="B79">
        <v>164.87</v>
      </c>
      <c r="E79">
        <f t="shared" si="3"/>
        <v>5.105157284573087</v>
      </c>
      <c r="F79">
        <v>5.0218949692956727</v>
      </c>
      <c r="G79" s="3">
        <f t="shared" si="4"/>
        <v>8.3262315277414345E-2</v>
      </c>
    </row>
    <row r="80" spans="1:7" x14ac:dyDescent="0.25">
      <c r="A80" t="s">
        <v>1016</v>
      </c>
      <c r="B80">
        <v>155.62</v>
      </c>
      <c r="E80">
        <f t="shared" si="3"/>
        <v>5.0474171381887842</v>
      </c>
      <c r="F80">
        <v>5.0270524160000853</v>
      </c>
      <c r="G80" s="3">
        <f t="shared" si="4"/>
        <v>2.0364722188698892E-2</v>
      </c>
    </row>
    <row r="81" spans="1:7" x14ac:dyDescent="0.25">
      <c r="A81" t="s">
        <v>1017</v>
      </c>
      <c r="B81">
        <v>147.34</v>
      </c>
      <c r="E81">
        <f t="shared" si="3"/>
        <v>4.9927428412546675</v>
      </c>
      <c r="F81">
        <v>5.0322098627044989</v>
      </c>
      <c r="G81" s="3">
        <f t="shared" si="4"/>
        <v>-3.9467021449831385E-2</v>
      </c>
    </row>
    <row r="82" spans="1:7" x14ac:dyDescent="0.25">
      <c r="A82" t="s">
        <v>1018</v>
      </c>
      <c r="B82">
        <v>143.99</v>
      </c>
      <c r="E82">
        <f t="shared" si="3"/>
        <v>4.9697438527201792</v>
      </c>
      <c r="F82">
        <v>5.0373673094089115</v>
      </c>
      <c r="G82" s="3">
        <f t="shared" si="4"/>
        <v>-6.7623456688732375E-2</v>
      </c>
    </row>
    <row r="83" spans="1:7" x14ac:dyDescent="0.25">
      <c r="A83" t="s">
        <v>1019</v>
      </c>
      <c r="B83">
        <v>147.62</v>
      </c>
      <c r="E83">
        <f t="shared" si="3"/>
        <v>4.9946414043419063</v>
      </c>
      <c r="F83">
        <v>5.0425247561133251</v>
      </c>
      <c r="G83" s="3">
        <f t="shared" si="4"/>
        <v>-4.7883351771418781E-2</v>
      </c>
    </row>
    <row r="84" spans="1:7" x14ac:dyDescent="0.25">
      <c r="A84" t="s">
        <v>1020</v>
      </c>
      <c r="B84">
        <v>138.66999999999999</v>
      </c>
      <c r="E84">
        <f t="shared" si="3"/>
        <v>4.9320970097657728</v>
      </c>
      <c r="F84">
        <v>5.0476822028177377</v>
      </c>
      <c r="G84" s="3">
        <f t="shared" si="4"/>
        <v>-0.11558519305196491</v>
      </c>
    </row>
    <row r="85" spans="1:7" x14ac:dyDescent="0.25">
      <c r="A85" t="s">
        <v>1021</v>
      </c>
      <c r="B85">
        <v>136.07</v>
      </c>
      <c r="E85">
        <f t="shared" si="3"/>
        <v>4.9131694592027673</v>
      </c>
      <c r="F85">
        <v>5.0528396495221504</v>
      </c>
      <c r="G85" s="3">
        <f t="shared" si="4"/>
        <v>-0.1396701903193831</v>
      </c>
    </row>
    <row r="86" spans="1:7" x14ac:dyDescent="0.25">
      <c r="A86" t="s">
        <v>1022</v>
      </c>
      <c r="B86">
        <v>136.57</v>
      </c>
      <c r="E86">
        <f t="shared" si="3"/>
        <v>4.9168373036903334</v>
      </c>
      <c r="F86">
        <v>5.0579970962265639</v>
      </c>
      <c r="G86" s="3">
        <f t="shared" si="4"/>
        <v>-0.14115979253623046</v>
      </c>
    </row>
    <row r="87" spans="1:7" x14ac:dyDescent="0.25">
      <c r="A87" t="s">
        <v>1023</v>
      </c>
      <c r="B87">
        <v>136.54</v>
      </c>
      <c r="E87">
        <f t="shared" si="3"/>
        <v>4.9166176119901346</v>
      </c>
      <c r="F87">
        <v>5.0631545429309766</v>
      </c>
      <c r="G87" s="3">
        <f t="shared" si="4"/>
        <v>-0.14653693094084197</v>
      </c>
    </row>
    <row r="88" spans="1:7" x14ac:dyDescent="0.25">
      <c r="A88" t="s">
        <v>1024</v>
      </c>
      <c r="B88">
        <v>137.09</v>
      </c>
      <c r="E88">
        <f t="shared" si="3"/>
        <v>4.920637644447809</v>
      </c>
      <c r="F88">
        <v>5.0683119896353892</v>
      </c>
      <c r="G88" s="3">
        <f t="shared" si="4"/>
        <v>-0.14767434518758016</v>
      </c>
    </row>
    <row r="89" spans="1:7" x14ac:dyDescent="0.25">
      <c r="A89" t="s">
        <v>1025</v>
      </c>
      <c r="B89">
        <v>141.34</v>
      </c>
      <c r="E89">
        <f t="shared" si="3"/>
        <v>4.9511683352627083</v>
      </c>
      <c r="F89">
        <v>5.0734694363398027</v>
      </c>
      <c r="G89" s="3">
        <f t="shared" si="4"/>
        <v>-0.12230110107709447</v>
      </c>
    </row>
    <row r="90" spans="1:7" x14ac:dyDescent="0.25">
      <c r="A90" t="s">
        <v>1026</v>
      </c>
      <c r="B90">
        <v>141.22999999999999</v>
      </c>
      <c r="E90">
        <f t="shared" si="3"/>
        <v>4.9503897670809724</v>
      </c>
      <c r="F90">
        <v>5.0786268830442154</v>
      </c>
      <c r="G90" s="3">
        <f t="shared" si="4"/>
        <v>-0.12823711596324294</v>
      </c>
    </row>
    <row r="91" spans="1:7" x14ac:dyDescent="0.25">
      <c r="A91" t="s">
        <v>1027</v>
      </c>
      <c r="B91">
        <v>142.16999999999999</v>
      </c>
      <c r="E91">
        <f t="shared" si="3"/>
        <v>4.9570235246476066</v>
      </c>
      <c r="F91">
        <v>5.0837843297486289</v>
      </c>
      <c r="G91" s="3">
        <f t="shared" si="4"/>
        <v>-0.12676080510102228</v>
      </c>
    </row>
    <row r="92" spans="1:7" x14ac:dyDescent="0.25">
      <c r="A92" t="s">
        <v>1028</v>
      </c>
      <c r="B92">
        <v>149.69</v>
      </c>
      <c r="E92">
        <f t="shared" si="3"/>
        <v>5.0085664889271442</v>
      </c>
      <c r="F92">
        <v>5.0889417764530416</v>
      </c>
      <c r="G92" s="3">
        <f t="shared" si="4"/>
        <v>-8.0375287525897399E-2</v>
      </c>
    </row>
    <row r="93" spans="1:7" x14ac:dyDescent="0.25">
      <c r="A93" t="s">
        <v>1029</v>
      </c>
      <c r="B93">
        <v>147.07</v>
      </c>
      <c r="E93">
        <f t="shared" si="3"/>
        <v>4.9909086639122222</v>
      </c>
      <c r="F93">
        <v>5.0940992231574542</v>
      </c>
      <c r="G93" s="3">
        <f t="shared" si="4"/>
        <v>-0.10319055924523202</v>
      </c>
    </row>
    <row r="94" spans="1:7" x14ac:dyDescent="0.25">
      <c r="A94" t="s">
        <v>1030</v>
      </c>
      <c r="B94">
        <v>145.36000000000001</v>
      </c>
      <c r="E94">
        <f t="shared" si="3"/>
        <v>4.9792134240879156</v>
      </c>
      <c r="F94">
        <v>5.0992566698618678</v>
      </c>
      <c r="G94" s="3">
        <f t="shared" si="4"/>
        <v>-0.1200432457739522</v>
      </c>
    </row>
    <row r="95" spans="1:7" x14ac:dyDescent="0.25">
      <c r="A95" t="s">
        <v>1031</v>
      </c>
      <c r="B95">
        <v>152.93</v>
      </c>
      <c r="E95">
        <f t="shared" si="3"/>
        <v>5.0299803003600321</v>
      </c>
      <c r="F95">
        <v>5.1044141165662804</v>
      </c>
      <c r="G95" s="3">
        <f t="shared" si="4"/>
        <v>-7.4433816206248338E-2</v>
      </c>
    </row>
    <row r="96" spans="1:7" x14ac:dyDescent="0.25">
      <c r="A96" t="s">
        <v>1032</v>
      </c>
      <c r="B96">
        <v>157.15</v>
      </c>
      <c r="E96">
        <f t="shared" si="3"/>
        <v>5.0572007632435767</v>
      </c>
      <c r="F96">
        <v>5.1095715632706931</v>
      </c>
      <c r="G96" s="3">
        <f t="shared" si="4"/>
        <v>-5.237080002711636E-2</v>
      </c>
    </row>
    <row r="97" spans="1:7" x14ac:dyDescent="0.25">
      <c r="A97" t="s">
        <v>1033</v>
      </c>
      <c r="B97">
        <v>148.16</v>
      </c>
      <c r="E97">
        <f t="shared" si="3"/>
        <v>4.9982927708978693</v>
      </c>
      <c r="F97">
        <v>5.1147290099751066</v>
      </c>
      <c r="G97" s="3">
        <f t="shared" si="4"/>
        <v>-0.11643623907723732</v>
      </c>
    </row>
    <row r="98" spans="1:7" x14ac:dyDescent="0.25">
      <c r="A98" t="s">
        <v>1034</v>
      </c>
      <c r="B98">
        <v>155.49</v>
      </c>
      <c r="E98">
        <f t="shared" si="3"/>
        <v>5.0465814208697246</v>
      </c>
      <c r="F98">
        <v>5.1198864566795192</v>
      </c>
      <c r="G98" s="3">
        <f t="shared" si="4"/>
        <v>-7.3305035809794639E-2</v>
      </c>
    </row>
    <row r="99" spans="1:7" x14ac:dyDescent="0.25">
      <c r="A99" t="s">
        <v>1035</v>
      </c>
      <c r="B99">
        <v>130.79</v>
      </c>
      <c r="E99">
        <f t="shared" si="3"/>
        <v>4.8735929835010605</v>
      </c>
      <c r="F99">
        <v>5.1250439033839328</v>
      </c>
      <c r="G99" s="3">
        <f t="shared" si="4"/>
        <v>-0.25145091988287227</v>
      </c>
    </row>
    <row r="100" spans="1:7" x14ac:dyDescent="0.25">
      <c r="A100" t="s">
        <v>1036</v>
      </c>
      <c r="B100">
        <v>143.55000000000001</v>
      </c>
      <c r="E100">
        <f t="shared" si="3"/>
        <v>4.9666834065670731</v>
      </c>
      <c r="F100">
        <v>5.1302013500883454</v>
      </c>
      <c r="G100" s="3">
        <f t="shared" si="4"/>
        <v>-0.16351794352127236</v>
      </c>
    </row>
    <row r="101" spans="1:7" x14ac:dyDescent="0.25">
      <c r="A101" t="s">
        <v>1037</v>
      </c>
      <c r="B101">
        <v>163.37</v>
      </c>
      <c r="E101">
        <f t="shared" si="3"/>
        <v>5.0960175670384169</v>
      </c>
      <c r="F101">
        <v>5.1353587967927581</v>
      </c>
      <c r="G101" s="3">
        <f t="shared" si="4"/>
        <v>-3.9341229754341178E-2</v>
      </c>
    </row>
    <row r="102" spans="1:7" x14ac:dyDescent="0.25">
      <c r="A102" t="s">
        <v>1038</v>
      </c>
      <c r="B102">
        <v>173.62</v>
      </c>
      <c r="E102">
        <f t="shared" si="3"/>
        <v>5.1568690029636617</v>
      </c>
      <c r="F102">
        <v>5.1405162434971716</v>
      </c>
      <c r="G102" s="3">
        <f t="shared" si="4"/>
        <v>1.6352759466490063E-2</v>
      </c>
    </row>
    <row r="103" spans="1:7" x14ac:dyDescent="0.25">
      <c r="A103" t="s">
        <v>1039</v>
      </c>
      <c r="B103">
        <v>165.42</v>
      </c>
      <c r="E103">
        <f t="shared" si="3"/>
        <v>5.1084876942637605</v>
      </c>
      <c r="F103">
        <v>5.1456736902015843</v>
      </c>
      <c r="G103" s="3">
        <f t="shared" si="4"/>
        <v>-3.718599593782379E-2</v>
      </c>
    </row>
    <row r="104" spans="1:7" x14ac:dyDescent="0.25">
      <c r="A104" t="s">
        <v>1040</v>
      </c>
      <c r="B104">
        <v>165.22</v>
      </c>
      <c r="E104">
        <f t="shared" si="3"/>
        <v>5.1072779191343596</v>
      </c>
      <c r="F104">
        <v>5.1508311369059969</v>
      </c>
      <c r="G104" s="3">
        <f t="shared" si="4"/>
        <v>-4.3553217771637343E-2</v>
      </c>
    </row>
    <row r="105" spans="1:7" x14ac:dyDescent="0.25">
      <c r="A105" t="s">
        <v>1041</v>
      </c>
      <c r="B105">
        <v>166.14</v>
      </c>
      <c r="E105">
        <f t="shared" si="3"/>
        <v>5.1128308064109254</v>
      </c>
      <c r="F105">
        <v>5.1559885836104105</v>
      </c>
      <c r="G105" s="3">
        <f t="shared" si="4"/>
        <v>-4.3157777199485103E-2</v>
      </c>
    </row>
    <row r="106" spans="1:7" x14ac:dyDescent="0.25">
      <c r="A106" t="s">
        <v>1042</v>
      </c>
      <c r="B106">
        <v>163.13999999999999</v>
      </c>
      <c r="E106">
        <f t="shared" si="3"/>
        <v>5.0946087278724344</v>
      </c>
      <c r="F106">
        <v>5.1611460303148231</v>
      </c>
      <c r="G106" s="3">
        <f t="shared" si="4"/>
        <v>-6.6537302442388757E-2</v>
      </c>
    </row>
    <row r="107" spans="1:7" x14ac:dyDescent="0.25">
      <c r="A107" t="s">
        <v>1043</v>
      </c>
      <c r="B107">
        <v>168.58</v>
      </c>
      <c r="E107">
        <f t="shared" si="3"/>
        <v>5.1274104145693364</v>
      </c>
      <c r="F107">
        <v>5.1663034770192358</v>
      </c>
      <c r="G107" s="3">
        <f t="shared" si="4"/>
        <v>-3.8893062449899318E-2</v>
      </c>
    </row>
    <row r="108" spans="1:7" x14ac:dyDescent="0.25">
      <c r="A108" t="s">
        <v>1044</v>
      </c>
      <c r="B108">
        <v>173.77</v>
      </c>
      <c r="E108">
        <f t="shared" si="3"/>
        <v>5.1577325857341627</v>
      </c>
      <c r="F108">
        <v>5.1714609237236493</v>
      </c>
      <c r="G108" s="3">
        <f t="shared" si="4"/>
        <v>-1.3728337989486583E-2</v>
      </c>
    </row>
    <row r="109" spans="1:7" x14ac:dyDescent="0.25">
      <c r="A109" t="s">
        <v>1045</v>
      </c>
      <c r="B109">
        <v>171.72</v>
      </c>
      <c r="E109">
        <f t="shared" si="3"/>
        <v>5.1458652433563596</v>
      </c>
      <c r="F109">
        <v>5.1766183704280619</v>
      </c>
      <c r="G109" s="3">
        <f t="shared" si="4"/>
        <v>-3.0753127071702302E-2</v>
      </c>
    </row>
    <row r="110" spans="1:7" x14ac:dyDescent="0.25">
      <c r="A110" t="s">
        <v>1046</v>
      </c>
      <c r="B110">
        <v>165.39</v>
      </c>
      <c r="E110">
        <f t="shared" si="3"/>
        <v>5.1083063212697022</v>
      </c>
      <c r="F110">
        <v>5.1817758171324755</v>
      </c>
      <c r="G110" s="3">
        <f t="shared" si="4"/>
        <v>-7.3469495862773293E-2</v>
      </c>
    </row>
    <row r="111" spans="1:7" x14ac:dyDescent="0.25">
      <c r="A111" t="s">
        <v>1047</v>
      </c>
      <c r="B111">
        <v>165.84</v>
      </c>
      <c r="E111">
        <f t="shared" si="3"/>
        <v>5.1110234681275237</v>
      </c>
      <c r="F111">
        <v>5.1869332638368881</v>
      </c>
      <c r="G111" s="3">
        <f t="shared" si="4"/>
        <v>-7.5909795709364403E-2</v>
      </c>
    </row>
    <row r="112" spans="1:7" x14ac:dyDescent="0.25">
      <c r="A112" t="s">
        <v>1048</v>
      </c>
      <c r="B112">
        <v>161.65</v>
      </c>
      <c r="E112">
        <f t="shared" si="3"/>
        <v>5.0854335041714425</v>
      </c>
      <c r="F112">
        <v>5.1920907105413008</v>
      </c>
      <c r="G112" s="3">
        <f t="shared" si="4"/>
        <v>-0.10665720636985832</v>
      </c>
    </row>
    <row r="113" spans="1:7" x14ac:dyDescent="0.25">
      <c r="A113" t="s">
        <v>1049</v>
      </c>
      <c r="B113">
        <v>164.63</v>
      </c>
      <c r="E113">
        <f t="shared" si="3"/>
        <v>5.1037005316599302</v>
      </c>
      <c r="F113">
        <v>5.1972481572457143</v>
      </c>
      <c r="G113" s="3">
        <f t="shared" si="4"/>
        <v>-9.3547625585784111E-2</v>
      </c>
    </row>
    <row r="114" spans="1:7" x14ac:dyDescent="0.25">
      <c r="A114" t="s">
        <v>1050</v>
      </c>
      <c r="B114">
        <v>169.55</v>
      </c>
      <c r="E114">
        <f t="shared" si="3"/>
        <v>5.1331478685716476</v>
      </c>
      <c r="F114">
        <v>5.202405603950127</v>
      </c>
      <c r="G114" s="3">
        <f t="shared" si="4"/>
        <v>-6.9257735378479346E-2</v>
      </c>
    </row>
    <row r="115" spans="1:7" x14ac:dyDescent="0.25">
      <c r="A115" t="s">
        <v>1051</v>
      </c>
      <c r="B115">
        <v>174.36</v>
      </c>
      <c r="E115">
        <f t="shared" si="3"/>
        <v>5.1611221273701915</v>
      </c>
      <c r="F115">
        <v>5.2075630506545405</v>
      </c>
      <c r="G115" s="3">
        <f t="shared" si="4"/>
        <v>-4.6440923284349012E-2</v>
      </c>
    </row>
    <row r="116" spans="1:7" x14ac:dyDescent="0.25">
      <c r="A116" t="s">
        <v>1052</v>
      </c>
      <c r="B116">
        <v>177.84</v>
      </c>
      <c r="E116">
        <f t="shared" si="3"/>
        <v>5.180884269655941</v>
      </c>
      <c r="F116">
        <v>5.2127204973589532</v>
      </c>
      <c r="G116" s="3">
        <f t="shared" si="4"/>
        <v>-3.1836227703012199E-2</v>
      </c>
    </row>
    <row r="117" spans="1:7" x14ac:dyDescent="0.25">
      <c r="A117" t="s">
        <v>1053</v>
      </c>
      <c r="B117">
        <v>180.54</v>
      </c>
      <c r="E117">
        <f t="shared" si="3"/>
        <v>5.1959523598700086</v>
      </c>
      <c r="F117">
        <v>5.2178779440633658</v>
      </c>
      <c r="G117" s="3">
        <f t="shared" si="4"/>
        <v>-2.1925584193357217E-2</v>
      </c>
    </row>
    <row r="118" spans="1:7" x14ac:dyDescent="0.25">
      <c r="A118" t="s">
        <v>1054</v>
      </c>
      <c r="B118">
        <v>184.64</v>
      </c>
      <c r="E118">
        <f t="shared" si="3"/>
        <v>5.218407983319735</v>
      </c>
      <c r="F118">
        <v>5.2230353907677793</v>
      </c>
      <c r="G118" s="3">
        <f t="shared" si="4"/>
        <v>-4.6274074480443517E-3</v>
      </c>
    </row>
    <row r="119" spans="1:7" x14ac:dyDescent="0.25">
      <c r="A119" t="s">
        <v>1055</v>
      </c>
      <c r="B119">
        <v>181.32</v>
      </c>
      <c r="E119">
        <f t="shared" si="3"/>
        <v>5.2002634260726488</v>
      </c>
      <c r="F119">
        <v>5.228192837472192</v>
      </c>
      <c r="G119" s="3">
        <f t="shared" si="4"/>
        <v>-2.7929411399543191E-2</v>
      </c>
    </row>
    <row r="120" spans="1:7" x14ac:dyDescent="0.25">
      <c r="A120" t="s">
        <v>1056</v>
      </c>
      <c r="B120">
        <v>181.74</v>
      </c>
      <c r="E120">
        <f t="shared" si="3"/>
        <v>5.2025770942672009</v>
      </c>
      <c r="F120">
        <v>5.2333502841766046</v>
      </c>
      <c r="G120" s="3">
        <f t="shared" si="4"/>
        <v>-3.0773189909403698E-2</v>
      </c>
    </row>
    <row r="121" spans="1:7" x14ac:dyDescent="0.25">
      <c r="A121" t="s">
        <v>1057</v>
      </c>
      <c r="B121">
        <v>175.5</v>
      </c>
      <c r="E121">
        <f t="shared" si="3"/>
        <v>5.1676390429059209</v>
      </c>
      <c r="F121">
        <v>5.2385077308810182</v>
      </c>
      <c r="G121" s="3">
        <f t="shared" si="4"/>
        <v>-7.0868687975097266E-2</v>
      </c>
    </row>
    <row r="122" spans="1:7" x14ac:dyDescent="0.25">
      <c r="A122" t="s">
        <v>1058</v>
      </c>
      <c r="B122">
        <v>181.67</v>
      </c>
      <c r="E122">
        <f t="shared" si="3"/>
        <v>5.2021918544506534</v>
      </c>
      <c r="F122">
        <v>5.2436651775854308</v>
      </c>
      <c r="G122" s="3">
        <f t="shared" si="4"/>
        <v>-4.1473323134777473E-2</v>
      </c>
    </row>
    <row r="123" spans="1:7" x14ac:dyDescent="0.25">
      <c r="A123" t="s">
        <v>1059</v>
      </c>
      <c r="B123" t="s">
        <v>1060</v>
      </c>
      <c r="E123" t="e">
        <f t="shared" si="3"/>
        <v>#VALUE!</v>
      </c>
      <c r="G123" s="3" t="e">
        <f t="shared" si="4"/>
        <v>#VALUE!</v>
      </c>
    </row>
  </sheetData>
  <pageMargins left="0.511811024" right="0.511811024" top="0.78740157499999996" bottom="0.78740157499999996" header="0.31496062000000002" footer="0.31496062000000002"/>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FA65A-602D-4E06-AC46-4E7BFB461315}">
  <dimension ref="A1:E128"/>
  <sheetViews>
    <sheetView workbookViewId="0">
      <selection activeCell="E1" sqref="E1:E1048576"/>
    </sheetView>
  </sheetViews>
  <sheetFormatPr defaultRowHeight="15" x14ac:dyDescent="0.25"/>
  <cols>
    <col min="1" max="1" width="11.7109375" bestFit="1" customWidth="1"/>
    <col min="2" max="2" width="29.42578125" customWidth="1"/>
    <col min="3" max="3" width="9.140625" style="3"/>
    <col min="5" max="5" width="10.28515625" style="3" bestFit="1" customWidth="1"/>
  </cols>
  <sheetData>
    <row r="1" spans="1:5" x14ac:dyDescent="0.25">
      <c r="A1" t="s">
        <v>936</v>
      </c>
      <c r="B1" t="s">
        <v>1202</v>
      </c>
      <c r="C1" s="3" t="s">
        <v>4</v>
      </c>
      <c r="D1" t="s">
        <v>1200</v>
      </c>
      <c r="E1" s="3" t="s">
        <v>1201</v>
      </c>
    </row>
    <row r="2" spans="1:5" x14ac:dyDescent="0.25">
      <c r="A2" t="s">
        <v>1192</v>
      </c>
      <c r="B2" s="4">
        <v>-2569.8000000000002</v>
      </c>
    </row>
    <row r="3" spans="1:5" x14ac:dyDescent="0.25">
      <c r="A3" t="s">
        <v>1193</v>
      </c>
      <c r="B3" s="4">
        <v>-2218.9</v>
      </c>
    </row>
    <row r="4" spans="1:5" x14ac:dyDescent="0.25">
      <c r="A4" t="s">
        <v>1194</v>
      </c>
      <c r="B4">
        <v>282.39999999999998</v>
      </c>
    </row>
    <row r="5" spans="1:5" x14ac:dyDescent="0.25">
      <c r="A5" t="s">
        <v>1195</v>
      </c>
      <c r="B5">
        <v>-64.7</v>
      </c>
    </row>
    <row r="6" spans="1:5" x14ac:dyDescent="0.25">
      <c r="A6" t="s">
        <v>938</v>
      </c>
      <c r="B6">
        <v>-699.3</v>
      </c>
      <c r="C6" s="3">
        <f>B6/'PIB em dol'!J4</f>
        <v>-3.568653717347622E-3</v>
      </c>
      <c r="D6">
        <v>2.0802399999999999E-2</v>
      </c>
      <c r="E6" s="28">
        <v>3.8486535568896681E-3</v>
      </c>
    </row>
    <row r="7" spans="1:5" x14ac:dyDescent="0.25">
      <c r="A7" t="s">
        <v>939</v>
      </c>
      <c r="B7">
        <v>-149</v>
      </c>
      <c r="C7" s="3">
        <f>B7/'PIB em dol'!J5</f>
        <v>-7.4591467787374268E-4</v>
      </c>
      <c r="D7">
        <v>1.01996E-2</v>
      </c>
      <c r="E7" s="28">
        <v>-7.2933027059735285E-3</v>
      </c>
    </row>
    <row r="8" spans="1:5" x14ac:dyDescent="0.25">
      <c r="A8" t="s">
        <v>940</v>
      </c>
      <c r="B8" s="4">
        <v>-1521.6</v>
      </c>
      <c r="C8" s="3">
        <f>B8/'PIB em dol'!J6</f>
        <v>-7.3711466308831472E-3</v>
      </c>
      <c r="D8">
        <v>-2.4031999999999999E-3</v>
      </c>
      <c r="E8" s="28">
        <v>-9.713411743912187E-3</v>
      </c>
    </row>
    <row r="9" spans="1:5" x14ac:dyDescent="0.25">
      <c r="A9" t="s">
        <v>941</v>
      </c>
      <c r="B9" s="4">
        <v>-4266.3</v>
      </c>
      <c r="C9" s="3">
        <f>B9/'PIB em dol'!J7</f>
        <v>-2.0052689837347742E-2</v>
      </c>
      <c r="D9">
        <v>-8.0059999999999992E-3</v>
      </c>
      <c r="E9" s="28">
        <v>-1.7304246539203594E-2</v>
      </c>
    </row>
    <row r="10" spans="1:5" x14ac:dyDescent="0.25">
      <c r="A10" t="s">
        <v>942</v>
      </c>
      <c r="B10" s="4">
        <v>-1066.2</v>
      </c>
      <c r="C10" s="3">
        <f>B10/'PIB em dol'!J8</f>
        <v>-4.960079085860495E-3</v>
      </c>
      <c r="D10">
        <v>-1.6088999999999999E-3</v>
      </c>
      <c r="E10" s="28">
        <v>2.2336593413532328E-3</v>
      </c>
    </row>
    <row r="11" spans="1:5" x14ac:dyDescent="0.25">
      <c r="A11" t="s">
        <v>943</v>
      </c>
      <c r="B11" s="4">
        <v>-1602.2</v>
      </c>
      <c r="C11" s="3">
        <f>B11/'PIB em dol'!J9</f>
        <v>-7.3623324928057347E-3</v>
      </c>
      <c r="D11">
        <v>-2.2117E-3</v>
      </c>
      <c r="E11" s="28">
        <v>-1.3911989900680474E-2</v>
      </c>
    </row>
    <row r="12" spans="1:5" x14ac:dyDescent="0.25">
      <c r="A12" t="s">
        <v>944</v>
      </c>
      <c r="B12" s="4">
        <v>-1937.5</v>
      </c>
      <c r="C12" s="3">
        <f>B12/'PIB em dol'!J10</f>
        <v>-8.8555033239560224E-3</v>
      </c>
      <c r="D12">
        <v>-6.8145000000000002E-3</v>
      </c>
      <c r="E12" s="28">
        <v>-1.139005539905486E-2</v>
      </c>
    </row>
    <row r="13" spans="1:5" x14ac:dyDescent="0.25">
      <c r="A13" t="s">
        <v>945</v>
      </c>
      <c r="B13" s="4">
        <v>-3144.8</v>
      </c>
      <c r="C13" s="3">
        <f>B13/'PIB em dol'!J11</f>
        <v>-1.4241447512173364E-2</v>
      </c>
      <c r="D13">
        <v>-1.4173E-3</v>
      </c>
      <c r="E13" s="28">
        <v>-1.1685763108098324E-2</v>
      </c>
    </row>
    <row r="14" spans="1:5" x14ac:dyDescent="0.25">
      <c r="A14" t="s">
        <v>946</v>
      </c>
      <c r="B14" s="4">
        <v>-2101.6</v>
      </c>
      <c r="C14" s="3">
        <f>B14/'PIB em dol'!J12</f>
        <v>-9.5533134987828786E-3</v>
      </c>
      <c r="D14">
        <v>-2.0202000000000002E-3</v>
      </c>
      <c r="E14" s="28">
        <v>-2.9077691733204718E-3</v>
      </c>
    </row>
    <row r="15" spans="1:5" x14ac:dyDescent="0.25">
      <c r="A15" t="s">
        <v>947</v>
      </c>
      <c r="B15">
        <v>-245.7</v>
      </c>
      <c r="C15" s="3">
        <f>B15/'PIB em dol'!J13</f>
        <v>-1.1197090670458274E-3</v>
      </c>
      <c r="D15">
        <v>3.77E-4</v>
      </c>
      <c r="E15" s="28">
        <v>-7.7125933330520141E-3</v>
      </c>
    </row>
    <row r="16" spans="1:5" x14ac:dyDescent="0.25">
      <c r="A16" t="s">
        <v>948</v>
      </c>
      <c r="B16" s="4">
        <v>-2080.8000000000002</v>
      </c>
      <c r="C16" s="3">
        <f>B16/'PIB em dol'!J14</f>
        <v>-9.5356918222781317E-3</v>
      </c>
      <c r="D16">
        <v>-7.2258000000000001E-3</v>
      </c>
      <c r="E16" s="28">
        <v>-1.2213056572664546E-2</v>
      </c>
    </row>
    <row r="17" spans="1:5" x14ac:dyDescent="0.25">
      <c r="A17" t="s">
        <v>949</v>
      </c>
      <c r="B17" s="4">
        <v>-3199.5</v>
      </c>
      <c r="C17" s="3">
        <f>B17/'PIB em dol'!J15</f>
        <v>-1.4814694769595496E-2</v>
      </c>
      <c r="D17">
        <v>-4.8285999999999997E-3</v>
      </c>
      <c r="E17" s="28">
        <v>-1.2502646469383023E-2</v>
      </c>
    </row>
    <row r="18" spans="1:5" x14ac:dyDescent="0.25">
      <c r="A18" t="s">
        <v>950</v>
      </c>
      <c r="B18" s="4">
        <v>-1079.2</v>
      </c>
      <c r="C18" s="3">
        <f>B18/'PIB em dol'!J16</f>
        <v>-5.3900843823903267E-3</v>
      </c>
      <c r="D18">
        <v>3.5685000000000001E-3</v>
      </c>
      <c r="E18" s="28">
        <v>-2.5677652928011215E-4</v>
      </c>
    </row>
    <row r="19" spans="1:5" x14ac:dyDescent="0.25">
      <c r="A19" t="s">
        <v>951</v>
      </c>
      <c r="B19">
        <v>-86.8</v>
      </c>
      <c r="C19" s="3">
        <f>B19/'PIB em dol'!J17</f>
        <v>-4.7351997730595501E-4</v>
      </c>
      <c r="D19">
        <v>-1.0342999999999999E-3</v>
      </c>
      <c r="E19" s="28">
        <v>-7.160427710015487E-3</v>
      </c>
    </row>
    <row r="20" spans="1:5" x14ac:dyDescent="0.25">
      <c r="A20" t="s">
        <v>952</v>
      </c>
      <c r="B20">
        <v>-291.60000000000002</v>
      </c>
      <c r="C20" s="3">
        <f>B20/'PIB em dol'!J18</f>
        <v>-1.7590584573250368E-3</v>
      </c>
      <c r="D20">
        <v>-6.3710000000000004E-4</v>
      </c>
      <c r="E20" s="28">
        <v>-4.8268409959559755E-3</v>
      </c>
    </row>
    <row r="21" spans="1:5" x14ac:dyDescent="0.25">
      <c r="A21" t="s">
        <v>953</v>
      </c>
      <c r="B21">
        <v>-604.70000000000005</v>
      </c>
      <c r="C21" s="3">
        <f>B21/'PIB em dol'!J19</f>
        <v>-4.0361093961187406E-3</v>
      </c>
      <c r="D21">
        <v>7.6009999999999999E-4</v>
      </c>
      <c r="E21" s="28">
        <v>-1.7771244504503516E-3</v>
      </c>
    </row>
    <row r="22" spans="1:5" x14ac:dyDescent="0.25">
      <c r="A22" t="s">
        <v>954</v>
      </c>
      <c r="B22">
        <v>-203.4</v>
      </c>
      <c r="C22" s="3">
        <f>B22/'PIB em dol'!J20</f>
        <v>-1.328335205454403E-3</v>
      </c>
      <c r="D22">
        <v>1.1573E-3</v>
      </c>
      <c r="E22" s="28">
        <v>6.0456256961160439E-3</v>
      </c>
    </row>
    <row r="23" spans="1:5" x14ac:dyDescent="0.25">
      <c r="A23" t="s">
        <v>955</v>
      </c>
      <c r="B23">
        <v>565.6</v>
      </c>
      <c r="C23" s="3">
        <f>B23/'PIB em dol'!J21</f>
        <v>3.6156342941889995E-3</v>
      </c>
      <c r="D23">
        <v>-4.4559999999999999E-4</v>
      </c>
      <c r="E23" s="28">
        <v>-3.079798548067073E-3</v>
      </c>
    </row>
    <row r="24" spans="1:5" x14ac:dyDescent="0.25">
      <c r="A24" t="s">
        <v>956</v>
      </c>
      <c r="B24">
        <v>-309.3</v>
      </c>
      <c r="C24" s="3">
        <f>B24/'PIB em dol'!J22</f>
        <v>-1.9311033761530898E-3</v>
      </c>
      <c r="D24">
        <v>-1.0483999999999999E-3</v>
      </c>
      <c r="E24" s="28">
        <v>-4.7642970514866325E-3</v>
      </c>
    </row>
    <row r="25" spans="1:5" x14ac:dyDescent="0.25">
      <c r="A25" t="s">
        <v>957</v>
      </c>
      <c r="B25" s="4">
        <v>-1841.7</v>
      </c>
      <c r="C25" s="3">
        <f>B25/'PIB em dol'!J23</f>
        <v>-1.1234878940015984E-2</v>
      </c>
      <c r="D25">
        <v>-9.6512000000000004E-3</v>
      </c>
      <c r="E25" s="28">
        <v>-8.7100261110896644E-3</v>
      </c>
    </row>
    <row r="26" spans="1:5" x14ac:dyDescent="0.25">
      <c r="A26" t="s">
        <v>958</v>
      </c>
      <c r="B26">
        <v>-947.6</v>
      </c>
      <c r="C26" s="3">
        <f>B26/'PIB em dol'!J24</f>
        <v>-5.9550293478124253E-3</v>
      </c>
      <c r="D26">
        <v>-9.2540000000000001E-3</v>
      </c>
      <c r="E26" s="28">
        <v>3.7633381195433229E-4</v>
      </c>
    </row>
    <row r="27" spans="1:5" x14ac:dyDescent="0.25">
      <c r="A27" t="s">
        <v>959</v>
      </c>
      <c r="B27">
        <v>326.60000000000002</v>
      </c>
      <c r="C27" s="3">
        <f>B27/'PIB em dol'!J25</f>
        <v>2.1250396492968858E-3</v>
      </c>
      <c r="D27">
        <v>-4.8568999999999999E-3</v>
      </c>
      <c r="E27" s="28">
        <v>-4.2437698766299263E-3</v>
      </c>
    </row>
    <row r="28" spans="1:5" x14ac:dyDescent="0.25">
      <c r="A28" t="s">
        <v>960</v>
      </c>
      <c r="B28" s="4">
        <v>1080.2</v>
      </c>
      <c r="C28" s="3">
        <f>B28/'PIB em dol'!J26</f>
        <v>7.3421309308166274E-3</v>
      </c>
      <c r="D28">
        <v>5.5402999999999997E-3</v>
      </c>
      <c r="E28" s="28">
        <v>4.6303670417419413E-3</v>
      </c>
    </row>
    <row r="29" spans="1:5" x14ac:dyDescent="0.25">
      <c r="A29" t="s">
        <v>961</v>
      </c>
      <c r="B29" s="4">
        <v>1077.4000000000001</v>
      </c>
      <c r="C29" s="3">
        <f>B29/'PIB em dol'!J27</f>
        <v>7.7017519090858732E-3</v>
      </c>
      <c r="D29">
        <v>1.0937499999999999E-2</v>
      </c>
      <c r="E29" s="28">
        <v>9.7659606619462415E-3</v>
      </c>
    </row>
    <row r="30" spans="1:5" x14ac:dyDescent="0.25">
      <c r="A30" t="s">
        <v>962</v>
      </c>
      <c r="B30">
        <v>791.4</v>
      </c>
      <c r="C30" s="3">
        <f>B30/'PIB em dol'!J28</f>
        <v>5.8238923823575942E-3</v>
      </c>
      <c r="E30" s="28">
        <v>1.3969593156867546E-2</v>
      </c>
    </row>
    <row r="31" spans="1:5" x14ac:dyDescent="0.25">
      <c r="A31" t="s">
        <v>963</v>
      </c>
      <c r="B31" s="4">
        <v>1235</v>
      </c>
      <c r="C31" s="3">
        <f>B31/'PIB em dol'!J29</f>
        <v>9.3316357564103055E-3</v>
      </c>
      <c r="E31" s="28">
        <v>3.2363348441000611E-3</v>
      </c>
    </row>
    <row r="32" spans="1:5" x14ac:dyDescent="0.25">
      <c r="A32" t="s">
        <v>964</v>
      </c>
      <c r="B32" s="4">
        <v>5017.3</v>
      </c>
      <c r="C32" s="3">
        <f>B32/'PIB em dol'!J30</f>
        <v>3.8772147081154285E-2</v>
      </c>
      <c r="E32" s="28">
        <v>3.5358237061927464E-2</v>
      </c>
    </row>
    <row r="33" spans="1:5" x14ac:dyDescent="0.25">
      <c r="A33" t="s">
        <v>965</v>
      </c>
      <c r="B33" s="4">
        <v>4960.1000000000004</v>
      </c>
      <c r="C33" s="3">
        <f>B33/'PIB em dol'!J31</f>
        <v>3.9048065152272576E-2</v>
      </c>
      <c r="E33" s="28">
        <v>3.9843277539861305E-2</v>
      </c>
    </row>
    <row r="34" spans="1:5" x14ac:dyDescent="0.25">
      <c r="A34" t="s">
        <v>966</v>
      </c>
      <c r="B34" s="4">
        <v>3519.4</v>
      </c>
      <c r="C34" s="3">
        <f>B34/'PIB em dol'!J32</f>
        <v>2.8088293684443655E-2</v>
      </c>
      <c r="E34" s="28">
        <v>3.8559469222383444E-2</v>
      </c>
    </row>
    <row r="35" spans="1:5" x14ac:dyDescent="0.25">
      <c r="A35" t="s">
        <v>967</v>
      </c>
      <c r="B35" s="4">
        <v>6313</v>
      </c>
      <c r="C35" s="3">
        <f>B35/'PIB em dol'!J33</f>
        <v>4.9070360351957221E-2</v>
      </c>
      <c r="E35" s="28">
        <v>3.8750535699810282E-2</v>
      </c>
    </row>
    <row r="36" spans="1:5" x14ac:dyDescent="0.25">
      <c r="A36" t="s">
        <v>968</v>
      </c>
      <c r="B36" s="4">
        <v>7108.4</v>
      </c>
      <c r="C36" s="3">
        <f>B36/'PIB em dol'!J34</f>
        <v>5.3417799044500426E-2</v>
      </c>
      <c r="E36" s="28">
        <v>4.4867919631725664E-2</v>
      </c>
    </row>
    <row r="37" spans="1:5" x14ac:dyDescent="0.25">
      <c r="A37" t="s">
        <v>969</v>
      </c>
      <c r="B37" s="4">
        <v>6635.5</v>
      </c>
      <c r="C37" s="3">
        <f>B37/'PIB em dol'!J35</f>
        <v>4.7441752388442532E-2</v>
      </c>
      <c r="E37" s="28">
        <v>4.3941463492861099E-2</v>
      </c>
    </row>
    <row r="38" spans="1:5" x14ac:dyDescent="0.25">
      <c r="A38" t="s">
        <v>970</v>
      </c>
      <c r="B38" s="4">
        <v>5867.4</v>
      </c>
      <c r="C38" s="3">
        <f>B38/'PIB em dol'!J36</f>
        <v>3.9122976930886004E-2</v>
      </c>
      <c r="E38" s="28">
        <v>4.5651018298607605E-2</v>
      </c>
    </row>
    <row r="39" spans="1:5" x14ac:dyDescent="0.25">
      <c r="A39" t="s">
        <v>971</v>
      </c>
      <c r="B39" s="4">
        <v>8505.2000000000007</v>
      </c>
      <c r="C39" s="3">
        <f>B39/'PIB em dol'!J37</f>
        <v>5.497875723781067E-2</v>
      </c>
      <c r="E39" s="28">
        <v>4.7191686861475894E-2</v>
      </c>
    </row>
    <row r="40" spans="1:5" x14ac:dyDescent="0.25">
      <c r="A40" t="s">
        <v>972</v>
      </c>
      <c r="B40" s="4">
        <v>9683.7000000000007</v>
      </c>
      <c r="C40" s="3">
        <f>B40/'PIB em dol'!J38</f>
        <v>6.0551035242807236E-2</v>
      </c>
      <c r="E40" s="28">
        <v>5.4159510540337713E-2</v>
      </c>
    </row>
    <row r="41" spans="1:5" x14ac:dyDescent="0.25">
      <c r="A41" t="s">
        <v>973</v>
      </c>
      <c r="B41" s="4">
        <v>8227.6</v>
      </c>
      <c r="C41" s="3">
        <f>B41/'PIB em dol'!J39</f>
        <v>4.9168508035539543E-2</v>
      </c>
      <c r="E41" s="28">
        <v>4.5815645221993856E-2</v>
      </c>
    </row>
    <row r="42" spans="1:5" x14ac:dyDescent="0.25">
      <c r="A42" t="s">
        <v>974</v>
      </c>
      <c r="B42" s="4">
        <v>8101.8</v>
      </c>
      <c r="C42" s="3">
        <f>B42/'PIB em dol'!J40</f>
        <v>4.6133346999436275E-2</v>
      </c>
      <c r="E42" s="28">
        <v>5.0833649274794633E-2</v>
      </c>
    </row>
    <row r="43" spans="1:5" x14ac:dyDescent="0.25">
      <c r="A43" t="s">
        <v>975</v>
      </c>
      <c r="B43" s="4">
        <v>11084.2</v>
      </c>
      <c r="C43" s="3">
        <f>B43/'PIB em dol'!J41</f>
        <v>5.8446173964397205E-2</v>
      </c>
      <c r="E43" s="28">
        <v>4.5144810433028634E-2</v>
      </c>
    </row>
    <row r="44" spans="1:5" x14ac:dyDescent="0.25">
      <c r="A44" t="s">
        <v>976</v>
      </c>
      <c r="B44" s="4">
        <v>12687</v>
      </c>
      <c r="C44" s="3">
        <f>B44/'PIB em dol'!J42</f>
        <v>6.1651424295141553E-2</v>
      </c>
      <c r="E44" s="28">
        <v>5.1245923134806456E-2</v>
      </c>
    </row>
    <row r="45" spans="1:5" x14ac:dyDescent="0.25">
      <c r="A45" t="s">
        <v>977</v>
      </c>
      <c r="B45" s="4">
        <v>11848.6</v>
      </c>
      <c r="C45" s="3">
        <f>B45/'PIB em dol'!J43</f>
        <v>5.3130829387286554E-2</v>
      </c>
      <c r="E45" s="28">
        <v>4.8192399261258498E-2</v>
      </c>
    </row>
    <row r="46" spans="1:5" x14ac:dyDescent="0.25">
      <c r="A46" t="s">
        <v>978</v>
      </c>
      <c r="B46" s="4">
        <v>9052.7999999999993</v>
      </c>
      <c r="C46" s="3">
        <f>B46/'PIB em dol'!J44</f>
        <v>3.7815800026734389E-2</v>
      </c>
      <c r="E46" s="28">
        <v>4.3297916125760123E-2</v>
      </c>
    </row>
    <row r="47" spans="1:5" x14ac:dyDescent="0.25">
      <c r="A47" t="s">
        <v>979</v>
      </c>
      <c r="B47" s="4">
        <v>9801.6</v>
      </c>
      <c r="C47" s="3">
        <f>B47/'PIB em dol'!J45</f>
        <v>3.8839175594751627E-2</v>
      </c>
      <c r="E47" s="28">
        <v>3.0245050107716158E-2</v>
      </c>
    </row>
    <row r="48" spans="1:5" x14ac:dyDescent="0.25">
      <c r="A48" t="s">
        <v>980</v>
      </c>
      <c r="B48" s="4">
        <v>14349.6</v>
      </c>
      <c r="C48" s="3">
        <f>B48/'PIB em dol'!J46</f>
        <v>5.4152856831516709E-2</v>
      </c>
      <c r="E48" s="28">
        <v>4.7478583140135269E-2</v>
      </c>
    </row>
    <row r="49" spans="1:5" x14ac:dyDescent="0.25">
      <c r="A49" t="s">
        <v>981</v>
      </c>
      <c r="B49" s="4">
        <v>11973.7</v>
      </c>
      <c r="C49" s="3">
        <f>B49/'PIB em dol'!J47</f>
        <v>4.3260243584324183E-2</v>
      </c>
      <c r="E49" s="28">
        <v>4.1460689871515771E-2</v>
      </c>
    </row>
    <row r="50" spans="1:5" x14ac:dyDescent="0.25">
      <c r="A50" t="s">
        <v>982</v>
      </c>
      <c r="B50" s="4">
        <v>8502.6</v>
      </c>
      <c r="C50" s="3">
        <f>B50/'PIB em dol'!J48</f>
        <v>2.9467383949172178E-2</v>
      </c>
      <c r="E50" s="28">
        <v>3.5802009703801811E-2</v>
      </c>
    </row>
    <row r="51" spans="1:5" x14ac:dyDescent="0.25">
      <c r="A51" t="s">
        <v>983</v>
      </c>
      <c r="B51" s="4">
        <v>11466</v>
      </c>
      <c r="C51" s="3">
        <f>B51/'PIB em dol'!J49</f>
        <v>3.7441497659906398E-2</v>
      </c>
      <c r="E51" s="28">
        <v>2.7450185814578018E-2</v>
      </c>
    </row>
    <row r="52" spans="1:5" x14ac:dyDescent="0.25">
      <c r="A52" t="s">
        <v>984</v>
      </c>
      <c r="B52" s="4">
        <v>9942.7000000000007</v>
      </c>
      <c r="C52" s="3">
        <f>B52/'PIB em dol'!J50</f>
        <v>3.0623004289598323E-2</v>
      </c>
      <c r="E52" s="28">
        <v>2.4806309625147072E-2</v>
      </c>
    </row>
    <row r="53" spans="1:5" x14ac:dyDescent="0.25">
      <c r="A53" t="s">
        <v>985</v>
      </c>
      <c r="B53" s="4">
        <v>8587</v>
      </c>
      <c r="C53" s="3">
        <f>B53/'PIB em dol'!J51</f>
        <v>2.4590545369155288E-2</v>
      </c>
      <c r="E53" s="28">
        <v>2.3461349097782434E-2</v>
      </c>
    </row>
    <row r="54" spans="1:5" x14ac:dyDescent="0.25">
      <c r="A54" t="s">
        <v>986</v>
      </c>
      <c r="B54" s="4">
        <v>2387.1</v>
      </c>
      <c r="C54" s="3">
        <f>B54/'PIB em dol'!J52</f>
        <v>6.3551563597155341E-3</v>
      </c>
      <c r="E54" s="28">
        <v>1.3258491706056794E-2</v>
      </c>
    </row>
    <row r="55" spans="1:5" x14ac:dyDescent="0.25">
      <c r="A55" t="s">
        <v>987</v>
      </c>
      <c r="B55" s="4">
        <v>8119.3</v>
      </c>
      <c r="C55" s="3">
        <f>B55/'PIB em dol'!J53</f>
        <v>2.0014802863694715E-2</v>
      </c>
      <c r="E55" s="28">
        <v>1.118387584136412E-2</v>
      </c>
    </row>
    <row r="56" spans="1:5" x14ac:dyDescent="0.25">
      <c r="A56" t="s">
        <v>988</v>
      </c>
      <c r="B56" s="4">
        <v>7999.9</v>
      </c>
      <c r="C56" s="3">
        <f>B56/'PIB em dol'!J54</f>
        <v>1.8351403957300335E-2</v>
      </c>
      <c r="E56" s="28">
        <v>1.3750272989085547E-2</v>
      </c>
    </row>
    <row r="57" spans="1:5" x14ac:dyDescent="0.25">
      <c r="A57" t="s">
        <v>989</v>
      </c>
      <c r="B57" s="4">
        <v>5000.6000000000004</v>
      </c>
      <c r="C57" s="3">
        <f>B57/'PIB em dol'!J55</f>
        <v>1.1813740921491164E-2</v>
      </c>
      <c r="E57" s="28">
        <v>1.6335902174495504E-2</v>
      </c>
    </row>
    <row r="58" spans="1:5" x14ac:dyDescent="0.25">
      <c r="A58" t="s">
        <v>990</v>
      </c>
      <c r="B58" s="4">
        <v>2910.3</v>
      </c>
      <c r="C58" s="3">
        <f>B58/'PIB em dol'!J56</f>
        <v>7.2359387693832003E-3</v>
      </c>
      <c r="E58" s="28">
        <v>1.6446035722129625E-2</v>
      </c>
    </row>
    <row r="59" spans="1:5" x14ac:dyDescent="0.25">
      <c r="A59" t="s">
        <v>991</v>
      </c>
      <c r="B59" s="4">
        <v>10878.1</v>
      </c>
      <c r="C59" s="3">
        <f>B59/'PIB em dol'!J57</f>
        <v>2.8398661009438071E-2</v>
      </c>
      <c r="E59" s="28">
        <v>2.2008001673949479E-2</v>
      </c>
    </row>
    <row r="60" spans="1:5" x14ac:dyDescent="0.25">
      <c r="A60" t="s">
        <v>992</v>
      </c>
      <c r="B60" s="4">
        <v>7097.9</v>
      </c>
      <c r="C60" s="3">
        <f>B60/'PIB em dol'!J58</f>
        <v>1.8902152420391071E-2</v>
      </c>
      <c r="E60" s="28">
        <v>1.2863043341452031E-2</v>
      </c>
    </row>
    <row r="61" spans="1:5" x14ac:dyDescent="0.25">
      <c r="A61" t="s">
        <v>993</v>
      </c>
      <c r="B61" s="4">
        <v>3904.1</v>
      </c>
      <c r="C61" s="3">
        <f>B61/'PIB em dol'!J59</f>
        <v>9.3364677297467936E-3</v>
      </c>
      <c r="E61" s="28">
        <v>9.598027802125193E-3</v>
      </c>
    </row>
    <row r="62" spans="1:5" x14ac:dyDescent="0.25">
      <c r="A62" t="s">
        <v>994</v>
      </c>
      <c r="B62">
        <v>480.6</v>
      </c>
      <c r="C62" s="3">
        <f>B62/'PIB em dol'!J60</f>
        <v>1.0441963832261562E-3</v>
      </c>
      <c r="E62" s="28">
        <v>8.3420612810617446E-3</v>
      </c>
    </row>
    <row r="63" spans="1:5" x14ac:dyDescent="0.25">
      <c r="A63" t="s">
        <v>995</v>
      </c>
      <c r="B63" s="4">
        <v>6531.7</v>
      </c>
      <c r="C63" s="3">
        <f>B63/'PIB em dol'!J61</f>
        <v>1.3153620684273431E-2</v>
      </c>
      <c r="E63" s="28">
        <v>5.8459959432754383E-3</v>
      </c>
    </row>
    <row r="64" spans="1:5" x14ac:dyDescent="0.25">
      <c r="A64" t="s">
        <v>996</v>
      </c>
      <c r="B64" s="4">
        <v>4409.5</v>
      </c>
      <c r="C64" s="3">
        <f>B64/'PIB em dol'!J62</f>
        <v>8.3666765490661137E-3</v>
      </c>
      <c r="E64" s="28">
        <v>4.7857764350881776E-3</v>
      </c>
    </row>
    <row r="65" spans="1:5" x14ac:dyDescent="0.25">
      <c r="A65" t="s">
        <v>997</v>
      </c>
      <c r="B65" s="4">
        <v>6936.1</v>
      </c>
      <c r="C65" s="3">
        <f>B65/'PIB em dol'!J63</f>
        <v>1.2555447448806427E-2</v>
      </c>
      <c r="E65" s="28">
        <v>1.3239356679149133E-2</v>
      </c>
    </row>
    <row r="66" spans="1:5" x14ac:dyDescent="0.25">
      <c r="A66" t="s">
        <v>998</v>
      </c>
      <c r="B66" s="4">
        <v>2532.3000000000002</v>
      </c>
      <c r="C66" s="3">
        <f>B66/'PIB em dol'!J64</f>
        <v>4.3454497874293755E-3</v>
      </c>
      <c r="E66" s="28">
        <v>1.1510533111845304E-2</v>
      </c>
    </row>
    <row r="67" spans="1:5" x14ac:dyDescent="0.25">
      <c r="A67" t="s">
        <v>999</v>
      </c>
      <c r="B67" s="4">
        <v>9215.7000000000007</v>
      </c>
      <c r="C67" s="3">
        <f>B67/'PIB em dol'!J65</f>
        <v>1.4830716966041204E-2</v>
      </c>
      <c r="E67" s="28">
        <v>6.9685549008820791E-3</v>
      </c>
    </row>
    <row r="68" spans="1:5" x14ac:dyDescent="0.25">
      <c r="A68" t="s">
        <v>1000</v>
      </c>
      <c r="B68" s="4">
        <v>9577.9</v>
      </c>
      <c r="C68" s="3">
        <f>B68/'PIB em dol'!J66</f>
        <v>1.4766137430730013E-2</v>
      </c>
      <c r="E68" s="28">
        <v>1.114776951222541E-2</v>
      </c>
    </row>
    <row r="69" spans="1:5" x14ac:dyDescent="0.25">
      <c r="A69" t="s">
        <v>1001</v>
      </c>
      <c r="B69" s="4">
        <v>6199.1</v>
      </c>
      <c r="C69" s="3">
        <f>B69/'PIB em dol'!J67</f>
        <v>9.4842423973525956E-3</v>
      </c>
      <c r="E69" s="28">
        <v>1.1751230360097953E-2</v>
      </c>
    </row>
    <row r="70" spans="1:5" x14ac:dyDescent="0.25">
      <c r="A70" t="s">
        <v>1002</v>
      </c>
      <c r="B70" s="4">
        <v>1766.4</v>
      </c>
      <c r="C70" s="3">
        <f>B70/'PIB em dol'!J68</f>
        <v>2.673475472709028E-3</v>
      </c>
      <c r="E70" s="28">
        <v>1.0126037915630052E-2</v>
      </c>
    </row>
    <row r="71" spans="1:5" x14ac:dyDescent="0.25">
      <c r="A71" t="s">
        <v>1003</v>
      </c>
      <c r="B71" s="4">
        <v>4048.9</v>
      </c>
      <c r="C71" s="3">
        <f>B71/'PIB em dol'!J69</f>
        <v>6.313446421505854E-3</v>
      </c>
      <c r="E71" s="28">
        <v>1.4076652383076919E-4</v>
      </c>
    </row>
    <row r="72" spans="1:5" x14ac:dyDescent="0.25">
      <c r="A72" t="s">
        <v>1004</v>
      </c>
      <c r="B72" s="4">
        <v>8063.9</v>
      </c>
      <c r="C72" s="3">
        <f>B72/'PIB em dol'!J70</f>
        <v>1.2949438112030729E-2</v>
      </c>
      <c r="E72" s="28">
        <v>1.0377290341270863E-2</v>
      </c>
    </row>
    <row r="73" spans="1:5" x14ac:dyDescent="0.25">
      <c r="A73" t="s">
        <v>1005</v>
      </c>
      <c r="B73" s="4">
        <v>3029.3</v>
      </c>
      <c r="C73" s="3">
        <f>B73/'PIB em dol'!J71</f>
        <v>4.918597080308563E-3</v>
      </c>
      <c r="E73" s="28">
        <v>7.0381420065545389E-3</v>
      </c>
    </row>
    <row r="74" spans="1:5" x14ac:dyDescent="0.25">
      <c r="A74" t="s">
        <v>1006</v>
      </c>
      <c r="B74" s="4">
        <v>-5608.9</v>
      </c>
      <c r="C74" s="3">
        <f>B74/'PIB em dol'!J72</f>
        <v>-9.1737769885219429E-3</v>
      </c>
      <c r="E74" s="28">
        <v>-1.683005720573949E-3</v>
      </c>
    </row>
    <row r="75" spans="1:5" x14ac:dyDescent="0.25">
      <c r="A75" t="s">
        <v>1007</v>
      </c>
      <c r="B75" s="4">
        <v>1559.5</v>
      </c>
      <c r="C75" s="3">
        <f>B75/'PIB em dol'!J73</f>
        <v>2.5147618293178981E-3</v>
      </c>
      <c r="E75" s="28">
        <v>-4.130677341602833E-3</v>
      </c>
    </row>
    <row r="76" spans="1:5" x14ac:dyDescent="0.25">
      <c r="A76" t="s">
        <v>1008</v>
      </c>
      <c r="B76">
        <v>747.7</v>
      </c>
      <c r="C76" s="3">
        <f>B76/'PIB em dol'!J74</f>
        <v>1.2133697868975701E-3</v>
      </c>
      <c r="E76" s="28">
        <v>-1.6676268115112182E-3</v>
      </c>
    </row>
    <row r="77" spans="1:5" x14ac:dyDescent="0.25">
      <c r="A77" t="s">
        <v>1009</v>
      </c>
      <c r="B77" s="4">
        <v>3670.7</v>
      </c>
      <c r="C77" s="3">
        <f>B77/'PIB em dol'!J75</f>
        <v>5.948169240946875E-3</v>
      </c>
      <c r="E77" s="28">
        <v>8.0437532880528618E-3</v>
      </c>
    </row>
    <row r="78" spans="1:5" x14ac:dyDescent="0.25">
      <c r="A78" t="s">
        <v>1010</v>
      </c>
      <c r="B78" s="4">
        <v>-6374.6</v>
      </c>
      <c r="C78" s="3">
        <f>B78/'PIB em dol'!J76</f>
        <v>-1.0473794359815897E-2</v>
      </c>
      <c r="E78" s="28">
        <v>-3.5124719111833316E-3</v>
      </c>
    </row>
    <row r="79" spans="1:5" x14ac:dyDescent="0.25">
      <c r="A79" t="s">
        <v>1011</v>
      </c>
      <c r="B79" s="4">
        <v>2831.7</v>
      </c>
      <c r="C79" s="3">
        <f>B79/'PIB em dol'!J77</f>
        <v>4.6525192314643511E-3</v>
      </c>
      <c r="E79" s="28">
        <v>-2.1361798037106338E-3</v>
      </c>
    </row>
    <row r="80" spans="1:5" x14ac:dyDescent="0.25">
      <c r="A80" t="s">
        <v>1012</v>
      </c>
      <c r="B80" s="4">
        <v>1049.3</v>
      </c>
      <c r="C80" s="3">
        <f>B80/'PIB em dol'!J78</f>
        <v>1.6884840975468463E-3</v>
      </c>
      <c r="E80" s="28">
        <v>-1.298555034569252E-3</v>
      </c>
    </row>
    <row r="81" spans="1:5" x14ac:dyDescent="0.25">
      <c r="A81" t="s">
        <v>1013</v>
      </c>
      <c r="B81" s="4">
        <v>-4245.3999999999996</v>
      </c>
      <c r="C81" s="3">
        <f>B81/'PIB em dol'!J79</f>
        <v>-6.9175854280005451E-3</v>
      </c>
      <c r="E81" s="28">
        <v>-5.0771043823710739E-3</v>
      </c>
    </row>
    <row r="82" spans="1:5" x14ac:dyDescent="0.25">
      <c r="A82" t="s">
        <v>1014</v>
      </c>
      <c r="B82" s="4">
        <v>-5826.6</v>
      </c>
      <c r="C82" s="3">
        <f>B82/'PIB em dol'!J80</f>
        <v>-9.8249903568695986E-3</v>
      </c>
      <c r="E82" s="28">
        <v>-4.2091761500751244E-3</v>
      </c>
    </row>
    <row r="83" spans="1:5" x14ac:dyDescent="0.25">
      <c r="A83" t="s">
        <v>1015</v>
      </c>
      <c r="B83" s="4">
        <v>7032.4</v>
      </c>
      <c r="C83" s="3">
        <f>B83/'PIB em dol'!J81</f>
        <v>1.2737143814496008E-2</v>
      </c>
      <c r="E83" s="28">
        <v>8.2570803003780228E-3</v>
      </c>
    </row>
    <row r="84" spans="1:5" x14ac:dyDescent="0.25">
      <c r="A84" t="s">
        <v>1016</v>
      </c>
      <c r="B84" s="4">
        <v>7615.8</v>
      </c>
      <c r="C84" s="3">
        <f>B84/'PIB em dol'!J82</f>
        <v>1.5324119370700605E-2</v>
      </c>
      <c r="E84" s="28">
        <v>1.5165314125671205E-2</v>
      </c>
    </row>
    <row r="85" spans="1:5" x14ac:dyDescent="0.25">
      <c r="A85" t="s">
        <v>1017</v>
      </c>
      <c r="B85" s="4">
        <v>8623.2999999999993</v>
      </c>
      <c r="C85" s="3">
        <f>B85/'PIB em dol'!J83</f>
        <v>1.9203771584840615E-2</v>
      </c>
      <c r="E85" s="28">
        <v>2.3813851658880478E-2</v>
      </c>
    </row>
    <row r="86" spans="1:5" x14ac:dyDescent="0.25">
      <c r="A86" t="s">
        <v>1018</v>
      </c>
      <c r="B86" s="4">
        <v>8017.4</v>
      </c>
      <c r="C86" s="3">
        <f>B86/'PIB em dol'!J84</f>
        <v>1.9168700415237362E-2</v>
      </c>
      <c r="E86" s="28">
        <v>2.8426766216389267E-2</v>
      </c>
    </row>
    <row r="87" spans="1:5" x14ac:dyDescent="0.25">
      <c r="A87" t="s">
        <v>1019</v>
      </c>
      <c r="B87" s="4">
        <v>14300.9</v>
      </c>
      <c r="C87" s="3">
        <f>B87/'PIB em dol'!J85</f>
        <v>3.4882923931960623E-2</v>
      </c>
      <c r="E87" s="28">
        <v>2.5855576762335387E-2</v>
      </c>
    </row>
    <row r="88" spans="1:5" x14ac:dyDescent="0.25">
      <c r="A88" t="s">
        <v>1020</v>
      </c>
      <c r="B88" s="4">
        <v>11598.8</v>
      </c>
      <c r="C88" s="3">
        <f>B88/'PIB em dol'!J86</f>
        <v>2.7248097868379242E-2</v>
      </c>
      <c r="E88" s="28">
        <v>2.1050429851742245E-2</v>
      </c>
    </row>
    <row r="89" spans="1:5" x14ac:dyDescent="0.25">
      <c r="A89" t="s">
        <v>1021</v>
      </c>
      <c r="B89" s="4">
        <v>10627</v>
      </c>
      <c r="C89" s="3">
        <f>B89/'PIB em dol'!J87</f>
        <v>2.3613823875138044E-2</v>
      </c>
      <c r="E89" s="28">
        <v>2.3592699014608705E-2</v>
      </c>
    </row>
    <row r="90" spans="1:5" x14ac:dyDescent="0.25">
      <c r="A90" t="s">
        <v>1022</v>
      </c>
      <c r="B90" s="4">
        <v>13213.7</v>
      </c>
      <c r="C90" s="3">
        <f>B90/'PIB em dol'!J88</f>
        <v>2.7466513124527112E-2</v>
      </c>
      <c r="E90" s="28">
        <v>3.3537315597546892E-2</v>
      </c>
    </row>
    <row r="91" spans="1:5" x14ac:dyDescent="0.25">
      <c r="A91" t="s">
        <v>1023</v>
      </c>
      <c r="B91" s="4">
        <v>19106.5</v>
      </c>
      <c r="C91" s="3">
        <f>B91/'PIB em dol'!J89</f>
        <v>3.8376715066473575E-2</v>
      </c>
      <c r="E91" s="28">
        <v>3.1028703022373753E-2</v>
      </c>
    </row>
    <row r="92" spans="1:5" x14ac:dyDescent="0.25">
      <c r="A92" t="s">
        <v>1024</v>
      </c>
      <c r="B92" s="4">
        <v>14233.2</v>
      </c>
      <c r="C92" s="3">
        <f>B92/'PIB em dol'!J90</f>
        <v>2.8056605224096844E-2</v>
      </c>
      <c r="E92" s="28">
        <v>2.4367171139723615E-2</v>
      </c>
    </row>
    <row r="93" spans="1:5" x14ac:dyDescent="0.25">
      <c r="A93" t="s">
        <v>1025</v>
      </c>
      <c r="B93" s="4">
        <v>10845.4</v>
      </c>
      <c r="C93" s="3">
        <f>B93/'PIB em dol'!J91</f>
        <v>2.1026529868397582E-2</v>
      </c>
      <c r="E93" s="28">
        <v>2.2627029217096629E-2</v>
      </c>
    </row>
    <row r="94" spans="1:5" x14ac:dyDescent="0.25">
      <c r="A94" t="s">
        <v>1026</v>
      </c>
      <c r="B94" s="4">
        <v>9211.9</v>
      </c>
      <c r="C94" s="3">
        <f>B94/'PIB em dol'!J92</f>
        <v>1.7760721233469643E-2</v>
      </c>
      <c r="E94" s="28">
        <v>2.5203023111113998E-2</v>
      </c>
    </row>
    <row r="95" spans="1:5" x14ac:dyDescent="0.25">
      <c r="A95" t="s">
        <v>1027</v>
      </c>
      <c r="B95" s="4">
        <v>14300.9</v>
      </c>
      <c r="C95" s="3">
        <f>B95/'PIB em dol'!J93</f>
        <v>2.7962821564431181E-2</v>
      </c>
      <c r="E95" s="28">
        <v>2.3272123923769036E-2</v>
      </c>
    </row>
    <row r="96" spans="1:5" x14ac:dyDescent="0.25">
      <c r="A96" t="s">
        <v>1028</v>
      </c>
      <c r="B96" s="4">
        <v>8081.3</v>
      </c>
      <c r="C96" s="3">
        <f>B96/'PIB em dol'!J94</f>
        <v>1.6416280787001535E-2</v>
      </c>
      <c r="E96" s="28">
        <v>1.5236992864385714E-2</v>
      </c>
    </row>
    <row r="97" spans="1:5" x14ac:dyDescent="0.25">
      <c r="A97" t="s">
        <v>1029</v>
      </c>
      <c r="B97" s="4">
        <v>12754.3</v>
      </c>
      <c r="C97" s="3">
        <f>B97/'PIB em dol'!J95</f>
        <v>2.6623971343477992E-2</v>
      </c>
      <c r="E97" s="28">
        <v>2.891299363101351E-2</v>
      </c>
    </row>
    <row r="98" spans="1:5" x14ac:dyDescent="0.25">
      <c r="A98" t="s">
        <v>1030</v>
      </c>
      <c r="B98" s="4">
        <v>5009.5</v>
      </c>
      <c r="C98" s="3">
        <f>B98/'PIB em dol'!J96</f>
        <v>1.0739577309360177E-2</v>
      </c>
      <c r="E98" s="28">
        <v>1.8112507595423852E-2</v>
      </c>
    </row>
    <row r="99" spans="1:5" x14ac:dyDescent="0.25">
      <c r="A99" t="s">
        <v>1031</v>
      </c>
      <c r="B99" s="4">
        <v>12187.5</v>
      </c>
      <c r="C99" s="3">
        <f>B99/'PIB em dol'!J97</f>
        <v>2.6304515095823978E-2</v>
      </c>
      <c r="E99" s="28">
        <v>1.9543389697958314E-2</v>
      </c>
    </row>
    <row r="100" spans="1:5" x14ac:dyDescent="0.25">
      <c r="A100" t="s">
        <v>1032</v>
      </c>
      <c r="B100" s="4">
        <v>4579.3</v>
      </c>
      <c r="C100" s="3">
        <f>B100/'PIB em dol'!J98</f>
        <v>9.7289706322885496E-3</v>
      </c>
      <c r="E100" s="28">
        <v>6.7227186377020812E-3</v>
      </c>
    </row>
    <row r="101" spans="1:5" x14ac:dyDescent="0.25">
      <c r="A101" t="s">
        <v>1033</v>
      </c>
      <c r="B101" s="4">
        <v>7791</v>
      </c>
      <c r="C101" s="3">
        <f>B101/'PIB em dol'!J99</f>
        <v>1.66403246475865E-2</v>
      </c>
      <c r="E101" s="28">
        <v>1.8838143123208952E-2</v>
      </c>
    </row>
    <row r="102" spans="1:5" x14ac:dyDescent="0.25">
      <c r="A102" t="s">
        <v>1034</v>
      </c>
      <c r="B102">
        <v>-56.1</v>
      </c>
      <c r="C102" s="3">
        <f>B102/'PIB em dol'!J100</f>
        <v>-1.2297588488931075E-4</v>
      </c>
      <c r="E102" s="28">
        <v>7.2242792399819398E-3</v>
      </c>
    </row>
    <row r="103" spans="1:5" x14ac:dyDescent="0.25">
      <c r="A103" t="s">
        <v>1035</v>
      </c>
      <c r="B103" s="4">
        <v>14239.5</v>
      </c>
      <c r="C103" s="3">
        <f>B103/'PIB em dol'!J101</f>
        <v>3.3883422893172456E-2</v>
      </c>
      <c r="E103" s="28">
        <v>3.7528588271720023E-2</v>
      </c>
    </row>
    <row r="104" spans="1:5" x14ac:dyDescent="0.25">
      <c r="A104" t="s">
        <v>1036</v>
      </c>
      <c r="B104" s="4">
        <v>16863.099999999999</v>
      </c>
      <c r="C104" s="3">
        <f>B104/'PIB em dol'!J102</f>
        <v>4.3179899175802186E-2</v>
      </c>
      <c r="E104" s="28">
        <v>4.4527101497352936E-2</v>
      </c>
    </row>
    <row r="105" spans="1:5" x14ac:dyDescent="0.25">
      <c r="A105" t="s">
        <v>1037</v>
      </c>
      <c r="B105" s="4">
        <v>4617.1000000000004</v>
      </c>
      <c r="C105" s="3">
        <f>B105/'PIB em dol'!J103</f>
        <v>1.2516468681041636E-2</v>
      </c>
      <c r="E105" s="28">
        <v>1.4289375035337504E-2</v>
      </c>
    </row>
    <row r="106" spans="1:5" x14ac:dyDescent="0.25">
      <c r="A106" t="s">
        <v>1038</v>
      </c>
      <c r="B106" s="4">
        <v>-2330.6</v>
      </c>
      <c r="C106" s="3">
        <f>B106/'PIB em dol'!J104</f>
        <v>-6.4287226478966864E-3</v>
      </c>
      <c r="E106" s="28">
        <v>1.4186991334183136E-3</v>
      </c>
    </row>
    <row r="107" spans="1:5" x14ac:dyDescent="0.25">
      <c r="A107" t="s">
        <v>1039</v>
      </c>
      <c r="B107" s="4">
        <v>25617</v>
      </c>
      <c r="C107" s="3">
        <f>B107/'PIB em dol'!J105</f>
        <v>6.637414059129651E-2</v>
      </c>
      <c r="E107" s="28">
        <v>5.4924304460222319E-2</v>
      </c>
    </row>
    <row r="108" spans="1:5" x14ac:dyDescent="0.25">
      <c r="A108" t="s">
        <v>1040</v>
      </c>
      <c r="B108" s="4">
        <v>15947.3</v>
      </c>
      <c r="C108" s="3">
        <f>B108/'PIB em dol'!J106</f>
        <v>3.9185636217098148E-2</v>
      </c>
      <c r="E108" s="28">
        <v>3.3360589593951606E-2</v>
      </c>
    </row>
    <row r="109" spans="1:5" x14ac:dyDescent="0.25">
      <c r="A109" t="s">
        <v>1041</v>
      </c>
      <c r="B109" s="4">
        <v>3078.4</v>
      </c>
      <c r="C109" s="3">
        <f>B109/'PIB em dol'!J107</f>
        <v>7.3712327012249073E-3</v>
      </c>
      <c r="E109" s="28">
        <v>9.4172007597510751E-3</v>
      </c>
    </row>
    <row r="110" spans="1:5" x14ac:dyDescent="0.25">
      <c r="A110" t="s">
        <v>1042</v>
      </c>
      <c r="B110" s="4">
        <v>9893.4</v>
      </c>
      <c r="C110" s="3">
        <f>B110/'PIB em dol'!J108</f>
        <v>2.2967460211058548E-2</v>
      </c>
      <c r="E110" s="28">
        <v>2.9595868131533982E-2</v>
      </c>
    </row>
    <row r="111" spans="1:5" x14ac:dyDescent="0.25">
      <c r="A111" t="s">
        <v>1043</v>
      </c>
      <c r="B111" s="4">
        <v>19824.599999999999</v>
      </c>
      <c r="C111" s="3">
        <f>B111/'PIB em dol'!J109</f>
        <v>4.3634970970878428E-2</v>
      </c>
      <c r="E111" s="28">
        <v>3.2233440022724637E-2</v>
      </c>
    </row>
    <row r="112" spans="1:5" x14ac:dyDescent="0.25">
      <c r="A112" t="s">
        <v>1044</v>
      </c>
      <c r="B112" s="4">
        <v>10410.200000000001</v>
      </c>
      <c r="C112" s="3">
        <f>B112/'PIB em dol'!J110</f>
        <v>2.2239526420412974E-2</v>
      </c>
      <c r="E112" s="28">
        <v>1.8119736320872819E-2</v>
      </c>
    </row>
    <row r="113" spans="1:5" x14ac:dyDescent="0.25">
      <c r="A113" t="s">
        <v>1045</v>
      </c>
      <c r="B113" s="4">
        <v>11393.6</v>
      </c>
      <c r="C113" s="3">
        <f>B113/'PIB em dol'!J111</f>
        <v>2.3352637409598611E-2</v>
      </c>
      <c r="E113" s="28">
        <v>2.4849120008144831E-2</v>
      </c>
    </row>
    <row r="114" spans="1:5" x14ac:dyDescent="0.25">
      <c r="A114" t="s">
        <v>1046</v>
      </c>
      <c r="B114" s="4">
        <v>14512.3</v>
      </c>
      <c r="C114" s="3">
        <f>B114/'PIB em dol'!J112</f>
        <v>2.8986149872194531E-2</v>
      </c>
      <c r="E114" s="28">
        <v>3.6618410592336184E-2</v>
      </c>
    </row>
    <row r="115" spans="1:5" x14ac:dyDescent="0.25">
      <c r="A115" t="s">
        <v>1047</v>
      </c>
      <c r="B115" s="4">
        <v>27690.1</v>
      </c>
      <c r="C115" s="3">
        <f>B115/'PIB em dol'!J113</f>
        <v>5.4237284815720724E-2</v>
      </c>
      <c r="E115" s="28">
        <v>4.3741198456005138E-2</v>
      </c>
    </row>
    <row r="116" spans="1:5" x14ac:dyDescent="0.25">
      <c r="A116" t="s">
        <v>1048</v>
      </c>
      <c r="B116" s="4">
        <v>24902.5</v>
      </c>
      <c r="C116" s="3">
        <f>B116/'PIB em dol'!J114</f>
        <v>4.7105479198114454E-2</v>
      </c>
      <c r="E116" s="28">
        <v>4.0991823184670692E-2</v>
      </c>
    </row>
    <row r="117" spans="1:5" x14ac:dyDescent="0.25">
      <c r="A117" t="s">
        <v>1049</v>
      </c>
      <c r="B117" s="4">
        <v>25170.5</v>
      </c>
      <c r="C117" s="3">
        <f>B117/'PIB em dol'!J115</f>
        <v>4.595270087704565E-2</v>
      </c>
      <c r="E117" s="28">
        <v>4.5689585870628616E-2</v>
      </c>
    </row>
    <row r="118" spans="1:5" x14ac:dyDescent="0.25">
      <c r="A118" t="s">
        <v>1050</v>
      </c>
      <c r="B118" s="4">
        <v>16301.7</v>
      </c>
      <c r="C118" s="3">
        <f>B118/'PIB em dol'!J116</f>
        <v>2.8954676447471839E-2</v>
      </c>
      <c r="E118" s="28">
        <v>3.6624581533482387E-2</v>
      </c>
    </row>
    <row r="119" spans="1:5" x14ac:dyDescent="0.25">
      <c r="A119" t="s">
        <v>1051</v>
      </c>
      <c r="B119" s="4">
        <v>20962.5</v>
      </c>
      <c r="C119" s="3">
        <f>B119/'PIB em dol'!J117</f>
        <v>3.704944167353013E-2</v>
      </c>
      <c r="E119" s="28">
        <v>3.0758821006093555E-2</v>
      </c>
    </row>
    <row r="120" spans="1:5" x14ac:dyDescent="0.25">
      <c r="A120" t="s">
        <v>1052</v>
      </c>
      <c r="B120" s="4">
        <v>15223.8</v>
      </c>
      <c r="C120" s="3">
        <f>B120/'PIB em dol'!J118</f>
        <v>2.7201058468124678E-2</v>
      </c>
      <c r="E120" s="28">
        <v>2.5131333351913612E-2</v>
      </c>
    </row>
    <row r="121" spans="1:5" x14ac:dyDescent="0.25">
      <c r="A121" t="s">
        <v>1053</v>
      </c>
      <c r="B121" s="4">
        <v>13354</v>
      </c>
      <c r="C121" s="3">
        <f>B121/'PIB em dol'!J119</f>
        <v>2.4448684812165389E-2</v>
      </c>
      <c r="E121" s="28">
        <v>2.7615583119778592E-2</v>
      </c>
    </row>
    <row r="122" spans="1:5" x14ac:dyDescent="0.25">
      <c r="A122" t="s">
        <v>1054</v>
      </c>
      <c r="B122" s="4">
        <v>7492.1</v>
      </c>
      <c r="C122" s="3">
        <f>B122/'PIB em dol'!J120</f>
        <v>1.3972682576575276E-2</v>
      </c>
      <c r="E122" s="28">
        <v>2.1850555323419306E-2</v>
      </c>
    </row>
    <row r="123" spans="1:5" x14ac:dyDescent="0.25">
      <c r="A123" t="s">
        <v>1055</v>
      </c>
      <c r="B123" s="4">
        <v>18641</v>
      </c>
      <c r="C123" s="3">
        <f>B123/'PIB em dol'!J121</f>
        <v>3.472817670551797E-2</v>
      </c>
      <c r="E123" s="28">
        <v>2.6489294296183394E-2</v>
      </c>
    </row>
    <row r="124" spans="1:5" x14ac:dyDescent="0.25">
      <c r="A124" t="s">
        <v>1056</v>
      </c>
      <c r="B124" s="4">
        <v>14161.4</v>
      </c>
      <c r="C124" s="3">
        <f>B124/'PIB em dol'!J122</f>
        <v>2.5774770614024112E-2</v>
      </c>
      <c r="E124" s="28">
        <v>2.0943499041845892E-2</v>
      </c>
    </row>
    <row r="125" spans="1:5" x14ac:dyDescent="0.25">
      <c r="A125" t="s">
        <v>1057</v>
      </c>
      <c r="B125" s="4">
        <v>19433.8</v>
      </c>
      <c r="C125" s="3">
        <f>B125/'PIB em dol'!J123</f>
        <v>3.4081037558535185E-2</v>
      </c>
      <c r="E125" s="28">
        <v>3.4138000960074064E-2</v>
      </c>
    </row>
    <row r="126" spans="1:5" x14ac:dyDescent="0.25">
      <c r="A126" t="s">
        <v>1058</v>
      </c>
      <c r="B126" s="4">
        <v>11963</v>
      </c>
      <c r="C126" s="3">
        <f>B126/'PIB em dol'!J124</f>
        <v>2.0088208105977345E-2</v>
      </c>
      <c r="E126" s="28">
        <v>2.6710436173343656E-2</v>
      </c>
    </row>
    <row r="127" spans="1:5" x14ac:dyDescent="0.25">
      <c r="A127" t="s">
        <v>1196</v>
      </c>
      <c r="B127" s="4">
        <v>25454.400000000001</v>
      </c>
      <c r="C127" s="3">
        <f>B127/'PIB em dol'!J125</f>
        <v>4.0774321903679508E-2</v>
      </c>
      <c r="E127" s="28">
        <v>3.0924751444766287E-2</v>
      </c>
    </row>
    <row r="128" spans="1:5" x14ac:dyDescent="0.25">
      <c r="A128" t="s">
        <v>1059</v>
      </c>
      <c r="B128" t="s">
        <v>1197</v>
      </c>
    </row>
  </sheetData>
  <pageMargins left="0.511811024" right="0.511811024" top="0.78740157499999996" bottom="0.78740157499999996" header="0.31496062000000002" footer="0.31496062000000002"/>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15D73-7E77-4892-8A00-407BF3903E17}">
  <dimension ref="A1:E128"/>
  <sheetViews>
    <sheetView workbookViewId="0">
      <selection activeCell="C6" sqref="C6"/>
    </sheetView>
  </sheetViews>
  <sheetFormatPr defaultRowHeight="15" x14ac:dyDescent="0.25"/>
  <cols>
    <col min="1" max="1" width="11.7109375" bestFit="1" customWidth="1"/>
    <col min="2" max="2" width="29.42578125" customWidth="1"/>
    <col min="5" max="5" width="10.28515625" bestFit="1" customWidth="1"/>
  </cols>
  <sheetData>
    <row r="1" spans="1:5" x14ac:dyDescent="0.25">
      <c r="A1" t="s">
        <v>936</v>
      </c>
      <c r="B1" t="s">
        <v>1191</v>
      </c>
      <c r="C1" t="s">
        <v>4</v>
      </c>
      <c r="D1" t="s">
        <v>1200</v>
      </c>
      <c r="E1" t="s">
        <v>1201</v>
      </c>
    </row>
    <row r="2" spans="1:5" x14ac:dyDescent="0.25">
      <c r="A2" t="s">
        <v>1192</v>
      </c>
      <c r="B2" s="4">
        <v>-4015.5</v>
      </c>
    </row>
    <row r="3" spans="1:5" x14ac:dyDescent="0.25">
      <c r="A3" t="s">
        <v>1193</v>
      </c>
      <c r="B3" s="4">
        <v>-4036.6</v>
      </c>
    </row>
    <row r="4" spans="1:5" x14ac:dyDescent="0.25">
      <c r="A4" t="s">
        <v>1194</v>
      </c>
      <c r="B4" s="4">
        <v>-1671.4</v>
      </c>
    </row>
    <row r="5" spans="1:5" x14ac:dyDescent="0.25">
      <c r="A5" t="s">
        <v>1195</v>
      </c>
      <c r="B5" s="4">
        <v>-1864.2</v>
      </c>
    </row>
    <row r="6" spans="1:5" x14ac:dyDescent="0.25">
      <c r="A6" t="s">
        <v>938</v>
      </c>
      <c r="B6" s="4">
        <v>-2201.6</v>
      </c>
      <c r="C6">
        <f>B6/'PIB em dol'!G4</f>
        <v>-1.1050211809110803E-2</v>
      </c>
      <c r="D6">
        <v>2.0802399999999999E-2</v>
      </c>
      <c r="E6" s="7">
        <v>-5.2669078198055597E-3</v>
      </c>
    </row>
    <row r="7" spans="1:5" x14ac:dyDescent="0.25">
      <c r="A7" t="s">
        <v>939</v>
      </c>
      <c r="B7" s="4">
        <v>-2120.5</v>
      </c>
      <c r="C7">
        <f>B7/'PIB em dol'!G5</f>
        <v>-1.0207225203976029E-2</v>
      </c>
      <c r="D7">
        <v>1.01996E-2</v>
      </c>
      <c r="E7" s="7">
        <v>-1.6126655411198801E-2</v>
      </c>
    </row>
    <row r="8" spans="1:5" x14ac:dyDescent="0.25">
      <c r="A8" t="s">
        <v>940</v>
      </c>
      <c r="B8" s="4">
        <v>-3968.3</v>
      </c>
      <c r="C8">
        <f>B8/'PIB em dol'!G6</f>
        <v>-1.7678610409455203E-2</v>
      </c>
      <c r="D8">
        <v>-2.4031999999999999E-3</v>
      </c>
      <c r="E8" s="7">
        <v>-2.0220631174315499E-2</v>
      </c>
    </row>
    <row r="9" spans="1:5" x14ac:dyDescent="0.25">
      <c r="A9" t="s">
        <v>941</v>
      </c>
      <c r="B9" s="4">
        <v>-6624.9</v>
      </c>
      <c r="C9">
        <f>B9/'PIB em dol'!G7</f>
        <v>-3.0172429497923193E-2</v>
      </c>
      <c r="D9">
        <v>-8.0059999999999992E-3</v>
      </c>
      <c r="E9" s="7">
        <v>-2.7489744974548098E-2</v>
      </c>
    </row>
    <row r="10" spans="1:5" x14ac:dyDescent="0.25">
      <c r="A10" t="s">
        <v>942</v>
      </c>
      <c r="B10" s="4">
        <v>-3303.8</v>
      </c>
      <c r="C10">
        <f>B10/'PIB em dol'!G8</f>
        <v>-1.5880370884865148E-2</v>
      </c>
      <c r="D10">
        <v>-1.6088999999999999E-3</v>
      </c>
      <c r="E10" s="7">
        <v>-1.0097066895559901E-2</v>
      </c>
    </row>
    <row r="11" spans="1:5" x14ac:dyDescent="0.25">
      <c r="A11" t="s">
        <v>943</v>
      </c>
      <c r="B11" s="4">
        <v>-4495.5</v>
      </c>
      <c r="C11">
        <f>B11/'PIB em dol'!G9</f>
        <v>-2.0583319978938211E-2</v>
      </c>
      <c r="D11">
        <v>-2.2117E-3</v>
      </c>
      <c r="E11" s="7">
        <v>-2.6502750186160998E-2</v>
      </c>
    </row>
    <row r="12" spans="1:5" x14ac:dyDescent="0.25">
      <c r="A12" t="s">
        <v>944</v>
      </c>
      <c r="B12" s="4">
        <v>-5158.7</v>
      </c>
      <c r="C12">
        <f>B12/'PIB em dol'!G10</f>
        <v>-2.2512721147216183E-2</v>
      </c>
      <c r="D12">
        <v>-6.8145000000000002E-3</v>
      </c>
      <c r="E12" s="7">
        <v>-2.50547419120765E-2</v>
      </c>
    </row>
    <row r="13" spans="1:5" x14ac:dyDescent="0.25">
      <c r="A13" t="s">
        <v>945</v>
      </c>
      <c r="B13" s="4">
        <v>-6422.6</v>
      </c>
      <c r="C13">
        <f>B13/'PIB em dol'!G11</f>
        <v>-2.8208022416738771E-2</v>
      </c>
      <c r="D13">
        <v>-1.4173E-3</v>
      </c>
      <c r="E13" s="7">
        <v>-2.5525337893363701E-2</v>
      </c>
    </row>
    <row r="14" spans="1:5" x14ac:dyDescent="0.25">
      <c r="A14" t="s">
        <v>946</v>
      </c>
      <c r="B14" s="4">
        <v>-4516.8</v>
      </c>
      <c r="C14">
        <f>B14/'PIB em dol'!G12</f>
        <v>-2.2064599331731053E-2</v>
      </c>
      <c r="D14">
        <v>-2.0202000000000002E-3</v>
      </c>
      <c r="E14" s="7">
        <v>-1.6281295342425801E-2</v>
      </c>
    </row>
    <row r="15" spans="1:5" x14ac:dyDescent="0.25">
      <c r="A15" t="s">
        <v>947</v>
      </c>
      <c r="B15" s="4">
        <v>-2737.2</v>
      </c>
      <c r="C15">
        <f>B15/'PIB em dol'!G13</f>
        <v>-1.2661260852872743E-2</v>
      </c>
      <c r="D15">
        <v>3.77E-4</v>
      </c>
      <c r="E15" s="7">
        <v>-1.8580691060095501E-2</v>
      </c>
    </row>
    <row r="16" spans="1:5" x14ac:dyDescent="0.25">
      <c r="A16" t="s">
        <v>948</v>
      </c>
      <c r="B16" s="4">
        <v>-5213.8</v>
      </c>
      <c r="C16">
        <f>B16/'PIB em dol'!G14</f>
        <v>-2.3248389182440418E-2</v>
      </c>
      <c r="D16">
        <v>-7.2258000000000001E-3</v>
      </c>
      <c r="E16" s="7">
        <v>-2.5790409947300801E-2</v>
      </c>
    </row>
    <row r="17" spans="1:5" x14ac:dyDescent="0.25">
      <c r="A17" t="s">
        <v>949</v>
      </c>
      <c r="B17" s="4">
        <v>-6143</v>
      </c>
      <c r="C17">
        <f>B17/'PIB em dol'!G15</f>
        <v>-2.8087164856066424E-2</v>
      </c>
      <c r="D17">
        <v>-4.8285999999999997E-3</v>
      </c>
      <c r="E17" s="7">
        <v>-2.5404480332691302E-2</v>
      </c>
    </row>
    <row r="18" spans="1:5" x14ac:dyDescent="0.25">
      <c r="A18" t="s">
        <v>950</v>
      </c>
      <c r="B18" s="4">
        <v>-2439.9</v>
      </c>
      <c r="C18">
        <f>B18/'PIB em dol'!G16</f>
        <v>-1.721707100215928E-2</v>
      </c>
      <c r="D18">
        <v>3.5685000000000001E-3</v>
      </c>
      <c r="E18" s="7">
        <v>-1.1433767012854E-2</v>
      </c>
    </row>
    <row r="19" spans="1:5" x14ac:dyDescent="0.25">
      <c r="A19" t="s">
        <v>951</v>
      </c>
      <c r="B19" s="4">
        <v>-2114</v>
      </c>
      <c r="C19">
        <f>B19/'PIB em dol'!G17</f>
        <v>-1.4231760927959284E-2</v>
      </c>
      <c r="D19">
        <v>-1.0342999999999999E-3</v>
      </c>
      <c r="E19" s="7">
        <v>-2.01511911351821E-2</v>
      </c>
    </row>
    <row r="20" spans="1:5" x14ac:dyDescent="0.25">
      <c r="A20" t="s">
        <v>952</v>
      </c>
      <c r="B20" s="4">
        <v>-2483.1</v>
      </c>
      <c r="C20">
        <f>B20/'PIB em dol'!G18</f>
        <v>-1.6111994289978261E-2</v>
      </c>
      <c r="D20">
        <v>-6.3710000000000004E-4</v>
      </c>
      <c r="E20" s="7">
        <v>-1.8654015054838598E-2</v>
      </c>
    </row>
    <row r="21" spans="1:5" x14ac:dyDescent="0.25">
      <c r="A21" t="s">
        <v>953</v>
      </c>
      <c r="B21" s="4">
        <v>-2955</v>
      </c>
      <c r="C21">
        <f>B21/'PIB em dol'!G19</f>
        <v>-1.9074360960495741E-2</v>
      </c>
      <c r="D21">
        <v>7.6009999999999999E-4</v>
      </c>
      <c r="E21" s="7">
        <v>-1.6391676437120601E-2</v>
      </c>
    </row>
    <row r="22" spans="1:5" x14ac:dyDescent="0.25">
      <c r="A22" t="s">
        <v>954</v>
      </c>
      <c r="B22" s="4">
        <v>-1921.3</v>
      </c>
      <c r="C22">
        <f>B22/'PIB em dol'!G20</f>
        <v>-1.2401884843790343E-2</v>
      </c>
      <c r="D22">
        <v>1.1573E-3</v>
      </c>
      <c r="E22" s="7">
        <v>-6.6185808544850996E-3</v>
      </c>
    </row>
    <row r="23" spans="1:5" x14ac:dyDescent="0.25">
      <c r="A23" t="s">
        <v>955</v>
      </c>
      <c r="B23" s="4">
        <v>-1603.3</v>
      </c>
      <c r="C23">
        <f>B23/'PIB em dol'!G21</f>
        <v>-9.9108622011225677E-3</v>
      </c>
      <c r="D23">
        <v>-4.4559999999999999E-4</v>
      </c>
      <c r="E23" s="7">
        <v>-1.5830292408345301E-2</v>
      </c>
    </row>
    <row r="24" spans="1:5" x14ac:dyDescent="0.25">
      <c r="A24" t="s">
        <v>956</v>
      </c>
      <c r="B24" s="4">
        <v>-2385.1999999999998</v>
      </c>
      <c r="C24">
        <f>B24/'PIB em dol'!G22</f>
        <v>-1.4108767405269196E-2</v>
      </c>
      <c r="D24">
        <v>-1.0483999999999999E-3</v>
      </c>
      <c r="E24" s="7">
        <v>-1.66507881701295E-2</v>
      </c>
    </row>
    <row r="25" spans="1:5" x14ac:dyDescent="0.25">
      <c r="A25" t="s">
        <v>957</v>
      </c>
      <c r="B25" s="4">
        <v>-4660.8</v>
      </c>
      <c r="C25">
        <f>B25/'PIB em dol'!G23</f>
        <v>-2.7423245743065934E-2</v>
      </c>
      <c r="D25">
        <v>-9.6512000000000004E-3</v>
      </c>
      <c r="E25" s="7">
        <v>-2.4740561219690801E-2</v>
      </c>
    </row>
    <row r="26" spans="1:5" x14ac:dyDescent="0.25">
      <c r="A26" t="s">
        <v>958</v>
      </c>
      <c r="B26" s="4">
        <v>-3080.6</v>
      </c>
      <c r="C26">
        <f>B26/'PIB em dol'!G24</f>
        <v>-2.2698871172153613E-2</v>
      </c>
      <c r="D26">
        <v>-9.2540000000000001E-3</v>
      </c>
      <c r="E26" s="7">
        <v>-1.6915567182848399E-2</v>
      </c>
    </row>
    <row r="27" spans="1:5" x14ac:dyDescent="0.25">
      <c r="A27" t="s">
        <v>959</v>
      </c>
      <c r="B27" s="4">
        <v>-2134</v>
      </c>
      <c r="C27">
        <f>B27/'PIB em dol'!G25</f>
        <v>-1.5239265030385694E-2</v>
      </c>
      <c r="D27">
        <v>-4.8568999999999999E-3</v>
      </c>
      <c r="E27" s="7">
        <v>-2.1158695237608501E-2</v>
      </c>
    </row>
    <row r="28" spans="1:5" x14ac:dyDescent="0.25">
      <c r="A28" t="s">
        <v>960</v>
      </c>
      <c r="B28" s="4">
        <v>-1112</v>
      </c>
      <c r="C28">
        <f>B28/'PIB em dol'!G26</f>
        <v>-7.7878238214963546E-3</v>
      </c>
      <c r="D28">
        <v>5.5402999999999997E-3</v>
      </c>
      <c r="E28" s="7">
        <v>-1.0329844586356701E-2</v>
      </c>
    </row>
    <row r="29" spans="1:5" x14ac:dyDescent="0.25">
      <c r="A29" t="s">
        <v>961</v>
      </c>
      <c r="B29">
        <v>-893.8</v>
      </c>
      <c r="C29">
        <f>B29/'PIB em dol'!G27</f>
        <v>-6.337883354015245E-3</v>
      </c>
      <c r="D29">
        <v>1.0937499999999999E-2</v>
      </c>
      <c r="E29" s="7">
        <v>-3.6551988306401302E-3</v>
      </c>
    </row>
    <row r="30" spans="1:5" x14ac:dyDescent="0.25">
      <c r="A30" t="s">
        <v>962</v>
      </c>
      <c r="B30">
        <v>-580.79999999999995</v>
      </c>
      <c r="C30">
        <f>B30/'PIB em dol'!G28</f>
        <v>-4.8517655314136779E-3</v>
      </c>
      <c r="E30" s="7">
        <v>9.3153845789156297E-4</v>
      </c>
    </row>
    <row r="31" spans="1:5" x14ac:dyDescent="0.25">
      <c r="A31" t="s">
        <v>963</v>
      </c>
      <c r="B31">
        <v>-552.20000000000005</v>
      </c>
      <c r="C31">
        <f>B31/'PIB em dol'!G29</f>
        <v>-4.3873797284305705E-3</v>
      </c>
      <c r="E31" s="7">
        <v>-1.03068099356533E-2</v>
      </c>
    </row>
    <row r="32" spans="1:5" x14ac:dyDescent="0.25">
      <c r="A32" t="s">
        <v>964</v>
      </c>
      <c r="B32" s="4">
        <v>3465.6</v>
      </c>
      <c r="C32">
        <f>B32/'PIB em dol'!G30</f>
        <v>2.6450116009280742E-2</v>
      </c>
      <c r="E32" s="7">
        <v>2.3908095244420401E-2</v>
      </c>
    </row>
    <row r="33" spans="1:5" x14ac:dyDescent="0.25">
      <c r="A33" t="s">
        <v>965</v>
      </c>
      <c r="B33" s="4">
        <v>3588.6</v>
      </c>
      <c r="C33">
        <f>B33/'PIB em dol'!G31</f>
        <v>2.7288073729354868E-2</v>
      </c>
      <c r="E33" s="7">
        <v>2.997075825273E-2</v>
      </c>
    </row>
    <row r="34" spans="1:5" x14ac:dyDescent="0.25">
      <c r="A34" t="s">
        <v>966</v>
      </c>
      <c r="B34" s="4">
        <v>2511.5</v>
      </c>
      <c r="C34">
        <f>B34/'PIB em dol'!G32</f>
        <v>2.226546569974645E-2</v>
      </c>
      <c r="E34" s="7">
        <v>2.8048769689051699E-2</v>
      </c>
    </row>
    <row r="35" spans="1:5" x14ac:dyDescent="0.25">
      <c r="A35" t="s">
        <v>967</v>
      </c>
      <c r="B35" s="4">
        <v>4518.8</v>
      </c>
      <c r="C35">
        <f>B35/'PIB em dol'!G33</f>
        <v>3.2444463590804003E-2</v>
      </c>
      <c r="E35" s="7">
        <v>2.6525033383581201E-2</v>
      </c>
    </row>
    <row r="36" spans="1:5" x14ac:dyDescent="0.25">
      <c r="A36" t="s">
        <v>968</v>
      </c>
      <c r="B36" s="4">
        <v>5367.9</v>
      </c>
      <c r="C36">
        <f>B36/'PIB em dol'!G34</f>
        <v>3.6098128484294195E-2</v>
      </c>
      <c r="E36" s="7">
        <v>3.3556107719433903E-2</v>
      </c>
    </row>
    <row r="37" spans="1:5" x14ac:dyDescent="0.25">
      <c r="A37" t="s">
        <v>969</v>
      </c>
      <c r="B37" s="4">
        <v>5063.3999999999996</v>
      </c>
      <c r="C37">
        <f>B37/'PIB em dol'!G35</f>
        <v>3.1908296888194292E-2</v>
      </c>
      <c r="E37" s="7">
        <v>3.4590981411569403E-2</v>
      </c>
    </row>
    <row r="38" spans="1:5" x14ac:dyDescent="0.25">
      <c r="A38" t="s">
        <v>970</v>
      </c>
      <c r="B38" s="4">
        <v>4856</v>
      </c>
      <c r="C38">
        <f>B38/'PIB em dol'!G36</f>
        <v>3.1691749442000705E-2</v>
      </c>
      <c r="E38" s="7">
        <v>3.7475053431305999E-2</v>
      </c>
    </row>
    <row r="39" spans="1:5" x14ac:dyDescent="0.25">
      <c r="A39" t="s">
        <v>971</v>
      </c>
      <c r="B39" s="4">
        <v>6897.1</v>
      </c>
      <c r="C39">
        <f>B39/'PIB em dol'!G37</f>
        <v>4.3601754918322966E-2</v>
      </c>
      <c r="E39" s="7">
        <v>3.7682324711100203E-2</v>
      </c>
    </row>
    <row r="40" spans="1:5" x14ac:dyDescent="0.25">
      <c r="A40" t="s">
        <v>972</v>
      </c>
      <c r="B40" s="4">
        <v>7834.3</v>
      </c>
      <c r="C40">
        <f>B40/'PIB em dol'!G38</f>
        <v>4.6190355464627471E-2</v>
      </c>
      <c r="E40" s="7">
        <v>4.3648334699767102E-2</v>
      </c>
    </row>
    <row r="41" spans="1:5" x14ac:dyDescent="0.25">
      <c r="A41" t="s">
        <v>973</v>
      </c>
      <c r="B41" s="4">
        <v>6242.1</v>
      </c>
      <c r="C41">
        <f>B41/'PIB em dol'!G39</f>
        <v>3.3146240441801193E-2</v>
      </c>
      <c r="E41" s="7">
        <v>3.5828924965176298E-2</v>
      </c>
    </row>
    <row r="42" spans="1:5" x14ac:dyDescent="0.25">
      <c r="A42" t="s">
        <v>974</v>
      </c>
      <c r="B42" s="4">
        <v>6511.5</v>
      </c>
      <c r="C42">
        <f>B42/'PIB em dol'!G40</f>
        <v>3.4941375332027583E-2</v>
      </c>
      <c r="E42" s="7">
        <v>4.07246793213328E-2</v>
      </c>
    </row>
    <row r="43" spans="1:5" x14ac:dyDescent="0.25">
      <c r="A43" t="s">
        <v>975</v>
      </c>
      <c r="B43" s="4">
        <v>8275.7999999999993</v>
      </c>
      <c r="C43">
        <f>B43/'PIB em dol'!G41</f>
        <v>3.8616383896074802E-2</v>
      </c>
      <c r="E43" s="7">
        <v>3.2696953688851997E-2</v>
      </c>
    </row>
    <row r="44" spans="1:5" x14ac:dyDescent="0.25">
      <c r="A44" t="s">
        <v>976</v>
      </c>
      <c r="B44" s="4">
        <v>10014.1</v>
      </c>
      <c r="C44">
        <f>B44/'PIB em dol'!G42</f>
        <v>4.2765874761382126E-2</v>
      </c>
      <c r="E44" s="7">
        <v>4.0223853996521799E-2</v>
      </c>
    </row>
    <row r="45" spans="1:5" x14ac:dyDescent="0.25">
      <c r="A45" t="s">
        <v>977</v>
      </c>
      <c r="B45" s="4">
        <v>8872.7999999999993</v>
      </c>
      <c r="C45">
        <f>B45/'PIB em dol'!G43</f>
        <v>3.4496594196136973E-2</v>
      </c>
      <c r="E45" s="7">
        <v>3.7179278719512099E-2</v>
      </c>
    </row>
    <row r="46" spans="1:5" x14ac:dyDescent="0.25">
      <c r="A46" t="s">
        <v>978</v>
      </c>
      <c r="B46" s="4">
        <v>6803.3</v>
      </c>
      <c r="C46">
        <f>B46/'PIB em dol'!G44</f>
        <v>2.7008904645263229E-2</v>
      </c>
      <c r="E46" s="7">
        <v>3.2792208634568498E-2</v>
      </c>
    </row>
    <row r="47" spans="1:5" x14ac:dyDescent="0.25">
      <c r="A47" t="s">
        <v>979</v>
      </c>
      <c r="B47" s="4">
        <v>6919.1</v>
      </c>
      <c r="C47">
        <f>B47/'PIB em dol'!G45</f>
        <v>2.5992599410206804E-2</v>
      </c>
      <c r="E47" s="7">
        <v>2.0073169202983999E-2</v>
      </c>
    </row>
    <row r="48" spans="1:5" x14ac:dyDescent="0.25">
      <c r="A48" t="s">
        <v>980</v>
      </c>
      <c r="B48" s="4">
        <v>10937.3</v>
      </c>
      <c r="C48">
        <f>B48/'PIB em dol'!G46</f>
        <v>3.8425163101331858E-2</v>
      </c>
      <c r="E48" s="7">
        <v>3.5883142336471503E-2</v>
      </c>
    </row>
    <row r="49" spans="1:5" x14ac:dyDescent="0.25">
      <c r="A49" t="s">
        <v>981</v>
      </c>
      <c r="B49" s="4">
        <v>8792.7999999999993</v>
      </c>
      <c r="C49">
        <f>B49/'PIB em dol'!G47</f>
        <v>2.8885012499712554E-2</v>
      </c>
      <c r="E49" s="7">
        <v>3.1567697023087697E-2</v>
      </c>
    </row>
    <row r="50" spans="1:5" x14ac:dyDescent="0.25">
      <c r="A50" t="s">
        <v>982</v>
      </c>
      <c r="B50" s="4">
        <v>5100.8</v>
      </c>
      <c r="C50">
        <f>B50/'PIB em dol'!G48</f>
        <v>1.7063526578128659E-2</v>
      </c>
      <c r="E50" s="7">
        <v>2.28468305674339E-2</v>
      </c>
    </row>
    <row r="51" spans="1:5" x14ac:dyDescent="0.25">
      <c r="A51" t="s">
        <v>983</v>
      </c>
      <c r="B51" s="4">
        <v>7444.7</v>
      </c>
      <c r="C51">
        <f>B51/'PIB em dol'!G49</f>
        <v>2.2092736849914682E-2</v>
      </c>
      <c r="E51" s="7">
        <v>1.6173306642691902E-2</v>
      </c>
    </row>
    <row r="52" spans="1:5" x14ac:dyDescent="0.25">
      <c r="A52" t="s">
        <v>984</v>
      </c>
      <c r="B52" s="4">
        <v>5767.4</v>
      </c>
      <c r="C52">
        <f>B52/'PIB em dol'!G50</f>
        <v>1.6091582010596774E-2</v>
      </c>
      <c r="E52" s="7">
        <v>1.35495612457364E-2</v>
      </c>
    </row>
    <row r="53" spans="1:5" x14ac:dyDescent="0.25">
      <c r="A53" t="s">
        <v>985</v>
      </c>
      <c r="B53" s="4">
        <v>3904.3</v>
      </c>
      <c r="C53">
        <f>B53/'PIB em dol'!G51</f>
        <v>9.7005821392811102E-3</v>
      </c>
      <c r="E53" s="7">
        <v>1.2383266662656199E-2</v>
      </c>
    </row>
    <row r="54" spans="1:5" x14ac:dyDescent="0.25">
      <c r="A54" t="s">
        <v>986</v>
      </c>
      <c r="B54" s="4">
        <v>-1931.5</v>
      </c>
      <c r="C54">
        <f>B54/'PIB em dol'!G52</f>
        <v>-4.7738743147519268E-3</v>
      </c>
      <c r="E54" s="7">
        <v>1.00942967455331E-3</v>
      </c>
    </row>
    <row r="55" spans="1:5" x14ac:dyDescent="0.25">
      <c r="A55" t="s">
        <v>987</v>
      </c>
      <c r="B55" s="4">
        <v>2187.9</v>
      </c>
      <c r="C55">
        <f>B55/'PIB em dol'!G53</f>
        <v>4.7857575644892807E-3</v>
      </c>
      <c r="E55" s="7">
        <v>-1.13367264273349E-3</v>
      </c>
    </row>
    <row r="56" spans="1:5" x14ac:dyDescent="0.25">
      <c r="A56" t="s">
        <v>988</v>
      </c>
      <c r="B56" s="4">
        <v>1707.1</v>
      </c>
      <c r="C56">
        <f>B56/'PIB em dol'!G54</f>
        <v>3.5604192998043654E-3</v>
      </c>
      <c r="E56" s="7">
        <v>1.01839853494403E-3</v>
      </c>
    </row>
    <row r="57" spans="1:5" x14ac:dyDescent="0.25">
      <c r="A57" t="s">
        <v>989</v>
      </c>
      <c r="B57">
        <v>16.600000000000001</v>
      </c>
      <c r="C57">
        <f>B57/'PIB em dol'!G55</f>
        <v>4.7170615548116877E-5</v>
      </c>
      <c r="E57" s="7">
        <v>2.7298551389232299E-3</v>
      </c>
    </row>
    <row r="58" spans="1:5" x14ac:dyDescent="0.25">
      <c r="A58" t="s">
        <v>990</v>
      </c>
      <c r="B58">
        <v>-790.2</v>
      </c>
      <c r="C58">
        <f>B58/'PIB em dol'!G56</f>
        <v>-2.4674164881625213E-3</v>
      </c>
      <c r="E58" s="7">
        <v>3.3158875011427202E-3</v>
      </c>
    </row>
    <row r="59" spans="1:5" x14ac:dyDescent="0.25">
      <c r="A59" t="s">
        <v>991</v>
      </c>
      <c r="B59" s="4">
        <v>4816</v>
      </c>
      <c r="C59">
        <f>B59/'PIB em dol'!G57</f>
        <v>1.26548684193239E-2</v>
      </c>
      <c r="E59" s="7">
        <v>6.7354382121011299E-3</v>
      </c>
    </row>
    <row r="60" spans="1:5" x14ac:dyDescent="0.25">
      <c r="A60" t="s">
        <v>992</v>
      </c>
      <c r="B60" s="4">
        <v>1041.5</v>
      </c>
      <c r="C60">
        <f>B60/'PIB em dol'!G58</f>
        <v>2.3180657783159024E-3</v>
      </c>
      <c r="E60" s="7">
        <v>-2.2395498654443401E-4</v>
      </c>
    </row>
    <row r="61" spans="1:5" x14ac:dyDescent="0.25">
      <c r="A61" t="s">
        <v>993</v>
      </c>
      <c r="B61" s="4">
        <v>-2750.6</v>
      </c>
      <c r="C61">
        <f>B61/'PIB em dol'!G59</f>
        <v>-5.2642256195120458E-3</v>
      </c>
      <c r="E61" s="7">
        <v>-2.5815410961369301E-3</v>
      </c>
    </row>
    <row r="62" spans="1:5" x14ac:dyDescent="0.25">
      <c r="A62" t="s">
        <v>994</v>
      </c>
      <c r="B62" s="4">
        <v>-6982.2</v>
      </c>
      <c r="C62">
        <f>B62/'PIB em dol'!G60</f>
        <v>-1.4288374605812185E-2</v>
      </c>
      <c r="E62" s="7">
        <v>-8.5050706165069392E-3</v>
      </c>
    </row>
    <row r="63" spans="1:5" x14ac:dyDescent="0.25">
      <c r="A63" t="s">
        <v>995</v>
      </c>
      <c r="B63" s="4">
        <v>-2753.3</v>
      </c>
      <c r="C63">
        <f>B63/'PIB em dol'!G61</f>
        <v>-5.2362622524314683E-3</v>
      </c>
      <c r="E63" s="7">
        <v>-1.11556924596542E-2</v>
      </c>
    </row>
    <row r="64" spans="1:5" x14ac:dyDescent="0.25">
      <c r="A64" t="s">
        <v>996</v>
      </c>
      <c r="B64" s="4">
        <v>-6175.9</v>
      </c>
      <c r="C64">
        <f>B64/'PIB em dol'!G62</f>
        <v>-1.0813285709283187E-2</v>
      </c>
      <c r="E64" s="7">
        <v>-1.33553064741435E-2</v>
      </c>
    </row>
    <row r="65" spans="1:5" x14ac:dyDescent="0.25">
      <c r="A65" t="s">
        <v>997</v>
      </c>
      <c r="B65" s="4">
        <v>-3457.6</v>
      </c>
      <c r="C65">
        <f>B65/'PIB em dol'!G63</f>
        <v>-5.5398448728075584E-3</v>
      </c>
      <c r="E65" s="7">
        <v>-2.8571603494324401E-3</v>
      </c>
    </row>
    <row r="66" spans="1:5" x14ac:dyDescent="0.25">
      <c r="A66" t="s">
        <v>998</v>
      </c>
      <c r="B66" s="4">
        <v>-6757.3</v>
      </c>
      <c r="C66">
        <f>B66/'PIB em dol'!G64</f>
        <v>-1.1079302774375598E-2</v>
      </c>
      <c r="E66" s="7">
        <v>-5.29599878507036E-3</v>
      </c>
    </row>
    <row r="67" spans="1:5" x14ac:dyDescent="0.25">
      <c r="A67" t="s">
        <v>999</v>
      </c>
      <c r="B67" s="4">
        <v>-2718.8</v>
      </c>
      <c r="C67">
        <f>B67/'PIB em dol'!G65</f>
        <v>-3.9959141381109503E-3</v>
      </c>
      <c r="E67" s="7">
        <v>-9.9153443453337195E-3</v>
      </c>
    </row>
    <row r="68" spans="1:5" x14ac:dyDescent="0.25">
      <c r="A68" t="s">
        <v>1000</v>
      </c>
      <c r="B68" s="4">
        <v>-2177.4</v>
      </c>
      <c r="C68">
        <f>B68/'PIB em dol'!G66</f>
        <v>-3.2014609036253527E-3</v>
      </c>
      <c r="E68" s="7">
        <v>-5.7434816684856903E-3</v>
      </c>
    </row>
    <row r="69" spans="1:5" x14ac:dyDescent="0.25">
      <c r="A69" t="s">
        <v>1001</v>
      </c>
      <c r="B69" s="4">
        <v>-5176.1000000000004</v>
      </c>
      <c r="C69">
        <f>B69/'PIB em dol'!G67</f>
        <v>-8.0366860800019872E-3</v>
      </c>
      <c r="E69" s="7">
        <v>-5.3540015566268702E-3</v>
      </c>
    </row>
    <row r="70" spans="1:5" x14ac:dyDescent="0.25">
      <c r="A70" t="s">
        <v>1002</v>
      </c>
      <c r="B70" s="4">
        <v>-9367.5</v>
      </c>
      <c r="C70">
        <f>B70/'PIB em dol'!G68</f>
        <v>-1.4676367875087542E-2</v>
      </c>
      <c r="E70" s="7">
        <v>-8.8930638857822996E-3</v>
      </c>
    </row>
    <row r="71" spans="1:5" x14ac:dyDescent="0.25">
      <c r="A71" t="s">
        <v>1003</v>
      </c>
      <c r="B71" s="4">
        <v>-7980.9</v>
      </c>
      <c r="C71">
        <f>B71/'PIB em dol'!G69</f>
        <v>-1.3239758592430631E-2</v>
      </c>
      <c r="E71" s="7">
        <v>-1.91591887996534E-2</v>
      </c>
    </row>
    <row r="72" spans="1:5" x14ac:dyDescent="0.25">
      <c r="A72" t="s">
        <v>1004</v>
      </c>
      <c r="B72" s="4">
        <v>-3849.4</v>
      </c>
      <c r="C72">
        <f>B72/'PIB em dol'!G70</f>
        <v>-6.3546619123085049E-3</v>
      </c>
      <c r="E72" s="7">
        <v>-8.8966826771688396E-3</v>
      </c>
    </row>
    <row r="73" spans="1:5" x14ac:dyDescent="0.25">
      <c r="A73" t="s">
        <v>1005</v>
      </c>
      <c r="B73" s="4">
        <v>-10441.799999999999</v>
      </c>
      <c r="C73">
        <f>B73/'PIB em dol'!G71</f>
        <v>-1.693121178364863E-2</v>
      </c>
      <c r="E73" s="7">
        <v>-1.4248527260273499E-2</v>
      </c>
    </row>
    <row r="74" spans="1:5" x14ac:dyDescent="0.25">
      <c r="A74" t="s">
        <v>1006</v>
      </c>
      <c r="B74" s="4">
        <v>-17995</v>
      </c>
      <c r="C74">
        <f>B74/'PIB em dol'!G72</f>
        <v>-2.9008005209995712E-2</v>
      </c>
      <c r="E74" s="7">
        <v>-2.3224701220690501E-2</v>
      </c>
    </row>
    <row r="75" spans="1:5" x14ac:dyDescent="0.25">
      <c r="A75" t="s">
        <v>1007</v>
      </c>
      <c r="B75" s="4">
        <v>-11760.3</v>
      </c>
      <c r="C75">
        <f>B75/'PIB em dol'!G73</f>
        <v>-1.8440934065934066E-2</v>
      </c>
      <c r="E75" s="7">
        <v>-2.4360364273156802E-2</v>
      </c>
    </row>
    <row r="76" spans="1:5" x14ac:dyDescent="0.25">
      <c r="A76" t="s">
        <v>1008</v>
      </c>
      <c r="B76" s="4">
        <v>-13927</v>
      </c>
      <c r="C76">
        <f>B76/'PIB em dol'!G74</f>
        <v>-2.3601964486050998E-2</v>
      </c>
      <c r="E76" s="7">
        <v>-2.61439852509113E-2</v>
      </c>
    </row>
    <row r="77" spans="1:5" x14ac:dyDescent="0.25">
      <c r="A77" t="s">
        <v>1009</v>
      </c>
      <c r="B77" s="4">
        <v>-10901</v>
      </c>
      <c r="C77">
        <f>B77/'PIB em dol'!G75</f>
        <v>-1.7573612980711101E-2</v>
      </c>
      <c r="E77" s="7">
        <v>-1.4890928457336E-2</v>
      </c>
    </row>
    <row r="78" spans="1:5" x14ac:dyDescent="0.25">
      <c r="A78" t="s">
        <v>1010</v>
      </c>
      <c r="B78" s="4">
        <v>-18912.7</v>
      </c>
      <c r="C78">
        <f>B78/'PIB em dol'!G76</f>
        <v>-3.2253096946710691E-2</v>
      </c>
      <c r="E78" s="7">
        <v>-2.6469792957405501E-2</v>
      </c>
    </row>
    <row r="79" spans="1:5" x14ac:dyDescent="0.25">
      <c r="A79" t="s">
        <v>1011</v>
      </c>
      <c r="B79" s="4">
        <v>-11729.1</v>
      </c>
      <c r="C79">
        <f>B79/'PIB em dol'!G77</f>
        <v>-1.8390366659611E-2</v>
      </c>
      <c r="E79" s="7">
        <v>-2.4309796866833801E-2</v>
      </c>
    </row>
    <row r="80" spans="1:5" x14ac:dyDescent="0.25">
      <c r="A80" t="s">
        <v>1012</v>
      </c>
      <c r="B80" s="4">
        <v>-13988.5</v>
      </c>
      <c r="C80">
        <f>B80/'PIB em dol'!G78</f>
        <v>-2.1812520076219463E-2</v>
      </c>
      <c r="E80" s="7">
        <v>-2.43545408410798E-2</v>
      </c>
    </row>
    <row r="81" spans="1:5" x14ac:dyDescent="0.25">
      <c r="A81" t="s">
        <v>1013</v>
      </c>
      <c r="B81" s="4">
        <v>-19161.2</v>
      </c>
      <c r="C81">
        <f>B81/'PIB em dol'!G79</f>
        <v>-3.2511325652815719E-2</v>
      </c>
      <c r="E81" s="7">
        <v>-2.98286411294406E-2</v>
      </c>
    </row>
    <row r="82" spans="1:5" x14ac:dyDescent="0.25">
      <c r="A82" t="s">
        <v>1014</v>
      </c>
      <c r="B82" s="4">
        <v>-18347.099999999999</v>
      </c>
      <c r="C82">
        <f>B82/'PIB em dol'!G80</f>
        <v>-3.6425091424555384E-2</v>
      </c>
      <c r="E82" s="7">
        <v>-3.06417874352501E-2</v>
      </c>
    </row>
    <row r="83" spans="1:5" x14ac:dyDescent="0.25">
      <c r="A83" t="s">
        <v>1015</v>
      </c>
      <c r="B83" s="4">
        <v>-5457.5</v>
      </c>
      <c r="C83">
        <f>B83/'PIB em dol'!G81</f>
        <v>-1.1511284539126766E-2</v>
      </c>
      <c r="E83" s="7">
        <v>-1.7430714746349499E-2</v>
      </c>
    </row>
    <row r="84" spans="1:5" x14ac:dyDescent="0.25">
      <c r="A84" t="s">
        <v>1016</v>
      </c>
      <c r="B84" s="4">
        <v>-3339.7</v>
      </c>
      <c r="C84">
        <f>B84/'PIB em dol'!G82</f>
        <v>-7.9372850620661132E-3</v>
      </c>
      <c r="E84" s="7">
        <v>-1.04793058269264E-2</v>
      </c>
    </row>
    <row r="85" spans="1:5" x14ac:dyDescent="0.25">
      <c r="A85" t="s">
        <v>1017</v>
      </c>
      <c r="B85" s="4">
        <v>-1080.5999999999999</v>
      </c>
      <c r="C85">
        <f>B85/'PIB em dol'!G83</f>
        <v>-2.7177179820579303E-3</v>
      </c>
      <c r="E85" s="7">
        <v>-3.50334586828147E-5</v>
      </c>
    </row>
    <row r="86" spans="1:5" x14ac:dyDescent="0.25">
      <c r="A86" t="s">
        <v>1018</v>
      </c>
      <c r="B86">
        <v>342.6</v>
      </c>
      <c r="C86">
        <f>B86/'PIB em dol'!G84</f>
        <v>9.0028774520753137E-4</v>
      </c>
      <c r="E86" s="7">
        <v>6.6835917345127701E-3</v>
      </c>
    </row>
    <row r="87" spans="1:5" x14ac:dyDescent="0.25">
      <c r="A87" t="s">
        <v>1019</v>
      </c>
      <c r="B87" s="4">
        <v>4128.5</v>
      </c>
      <c r="C87">
        <f>B87/'PIB em dol'!G85</f>
        <v>9.3626333752877284E-3</v>
      </c>
      <c r="E87" s="7">
        <v>3.4432031680649601E-3</v>
      </c>
    </row>
    <row r="88" spans="1:5" x14ac:dyDescent="0.25">
      <c r="A88" t="s">
        <v>1020</v>
      </c>
      <c r="B88" s="4">
        <v>2892.3</v>
      </c>
      <c r="C88">
        <f>B88/'PIB em dol'!G86</f>
        <v>5.9809918483318238E-3</v>
      </c>
      <c r="E88" s="7">
        <v>3.43897108347149E-3</v>
      </c>
    </row>
    <row r="89" spans="1:5" x14ac:dyDescent="0.25">
      <c r="A89" t="s">
        <v>1021</v>
      </c>
      <c r="B89">
        <v>524.9</v>
      </c>
      <c r="C89">
        <f>B89/'PIB em dol'!G87</f>
        <v>1.0602969397030602E-3</v>
      </c>
      <c r="E89" s="7">
        <v>3.7429814630781798E-3</v>
      </c>
    </row>
    <row r="90" spans="1:5" x14ac:dyDescent="0.25">
      <c r="A90" t="s">
        <v>1022</v>
      </c>
      <c r="B90" s="4">
        <v>3964.6</v>
      </c>
      <c r="C90">
        <f>B90/'PIB em dol'!G88</f>
        <v>7.85459703733935E-3</v>
      </c>
      <c r="E90" s="7">
        <v>1.3637901026644601E-2</v>
      </c>
    </row>
    <row r="91" spans="1:5" x14ac:dyDescent="0.25">
      <c r="A91" t="s">
        <v>1023</v>
      </c>
      <c r="B91" s="4">
        <v>9029.4</v>
      </c>
      <c r="C91">
        <f>B91/'PIB em dol'!G89</f>
        <v>1.7771365927488795E-2</v>
      </c>
      <c r="E91" s="7">
        <v>1.1851935720266001E-2</v>
      </c>
    </row>
    <row r="92" spans="1:5" x14ac:dyDescent="0.25">
      <c r="A92" t="s">
        <v>1024</v>
      </c>
      <c r="B92" s="4">
        <v>3392.4</v>
      </c>
      <c r="C92">
        <f>B92/'PIB em dol'!G90</f>
        <v>6.507252659564265E-3</v>
      </c>
      <c r="E92" s="7">
        <v>3.9652318947039304E-3</v>
      </c>
    </row>
    <row r="93" spans="1:5" x14ac:dyDescent="0.25">
      <c r="A93" t="s">
        <v>1025</v>
      </c>
      <c r="B93">
        <v>-615.79999999999995</v>
      </c>
      <c r="C93">
        <f>B93/'PIB em dol'!G91</f>
        <v>-1.1640347660399756E-3</v>
      </c>
      <c r="E93" s="7">
        <v>1.5186497573351401E-3</v>
      </c>
    </row>
    <row r="94" spans="1:5" x14ac:dyDescent="0.25">
      <c r="A94" t="s">
        <v>1026</v>
      </c>
      <c r="B94">
        <v>-87.5</v>
      </c>
      <c r="C94">
        <f>B94/'PIB em dol'!G92</f>
        <v>-1.694971069265235E-4</v>
      </c>
      <c r="E94" s="7">
        <v>5.6138068823787203E-3</v>
      </c>
    </row>
    <row r="95" spans="1:5" x14ac:dyDescent="0.25">
      <c r="A95" t="s">
        <v>1027</v>
      </c>
      <c r="B95" s="4">
        <v>4620.6000000000004</v>
      </c>
      <c r="C95">
        <f>B95/'PIB em dol'!G93</f>
        <v>9.6439104109400341E-3</v>
      </c>
      <c r="E95" s="7">
        <v>3.7244802037172701E-3</v>
      </c>
    </row>
    <row r="96" spans="1:5" x14ac:dyDescent="0.25">
      <c r="A96" t="s">
        <v>1028</v>
      </c>
      <c r="B96" s="4">
        <v>-1740.1</v>
      </c>
      <c r="C96">
        <f>B96/'PIB em dol'!G94</f>
        <v>-3.9128166613449419E-3</v>
      </c>
      <c r="E96" s="7">
        <v>-6.45483742620528E-3</v>
      </c>
    </row>
    <row r="97" spans="1:5" x14ac:dyDescent="0.25">
      <c r="A97" t="s">
        <v>1029</v>
      </c>
      <c r="B97" s="4">
        <v>2227.8000000000002</v>
      </c>
      <c r="C97">
        <f>B97/'PIB em dol'!G95</f>
        <v>4.6788661341913432E-3</v>
      </c>
      <c r="E97" s="7">
        <v>7.3615506575664602E-3</v>
      </c>
    </row>
    <row r="98" spans="1:5" x14ac:dyDescent="0.25">
      <c r="A98" t="s">
        <v>1030</v>
      </c>
      <c r="B98" s="4">
        <v>-3445.7</v>
      </c>
      <c r="C98">
        <f>B98/'PIB em dol'!G96</f>
        <v>-7.3969203291336513E-3</v>
      </c>
      <c r="E98" s="7">
        <v>-1.61361633982841E-3</v>
      </c>
    </row>
    <row r="99" spans="1:5" x14ac:dyDescent="0.25">
      <c r="A99" t="s">
        <v>1031</v>
      </c>
      <c r="B99" s="4">
        <v>1511</v>
      </c>
      <c r="C99">
        <f>B99/'PIB em dol'!G97</f>
        <v>3.2382781190126147E-3</v>
      </c>
      <c r="E99" s="7">
        <v>-2.6811520882101501E-3</v>
      </c>
    </row>
    <row r="100" spans="1:5" x14ac:dyDescent="0.25">
      <c r="A100" t="s">
        <v>1032</v>
      </c>
      <c r="B100" s="4">
        <v>-4418.8</v>
      </c>
      <c r="C100">
        <f>B100/'PIB em dol'!G98</f>
        <v>-9.3189812979256482E-3</v>
      </c>
      <c r="E100" s="7">
        <v>-1.1861002062785999E-2</v>
      </c>
    </row>
    <row r="101" spans="1:5" x14ac:dyDescent="0.25">
      <c r="A101" t="s">
        <v>1033</v>
      </c>
      <c r="B101" s="4">
        <v>-2560.1999999999998</v>
      </c>
      <c r="C101">
        <f>B101/'PIB em dol'!G99</f>
        <v>-5.4917169498469517E-3</v>
      </c>
      <c r="E101" s="7">
        <v>-2.80903242647184E-3</v>
      </c>
    </row>
    <row r="102" spans="1:5" x14ac:dyDescent="0.25">
      <c r="A102" t="s">
        <v>1034</v>
      </c>
      <c r="B102" s="4">
        <v>-7394</v>
      </c>
      <c r="C102">
        <f>B102/'PIB em dol'!G100</f>
        <v>-1.769843720453735E-2</v>
      </c>
      <c r="E102" s="7">
        <v>-1.1915133215232101E-2</v>
      </c>
    </row>
    <row r="103" spans="1:5" x14ac:dyDescent="0.25">
      <c r="A103" t="s">
        <v>1035</v>
      </c>
      <c r="B103" s="4">
        <v>9261.4</v>
      </c>
      <c r="C103">
        <f>B103/'PIB em dol'!G101</f>
        <v>2.8685764905205708E-2</v>
      </c>
      <c r="E103" s="7">
        <v>2.27663346979829E-2</v>
      </c>
    </row>
    <row r="104" spans="1:5" x14ac:dyDescent="0.25">
      <c r="A104" t="s">
        <v>1036</v>
      </c>
      <c r="B104" s="4">
        <v>10910.3</v>
      </c>
      <c r="C104">
        <f>B104/'PIB em dol'!G102</f>
        <v>3.0707462468125345E-2</v>
      </c>
      <c r="E104" s="7">
        <v>2.8165441703265001E-2</v>
      </c>
    </row>
    <row r="105" spans="1:5" x14ac:dyDescent="0.25">
      <c r="A105" t="s">
        <v>1037</v>
      </c>
      <c r="B105" s="4">
        <v>-1771.2</v>
      </c>
      <c r="C105">
        <f>B105/'PIB em dol'!G103</f>
        <v>-4.6660133404988462E-3</v>
      </c>
      <c r="E105" s="7">
        <v>-1.9833288171237301E-3</v>
      </c>
    </row>
    <row r="106" spans="1:5" x14ac:dyDescent="0.25">
      <c r="A106" t="s">
        <v>1038</v>
      </c>
      <c r="B106" s="4">
        <v>-7586.7</v>
      </c>
      <c r="C106">
        <f>B106/'PIB em dol'!G104</f>
        <v>-1.9335773232135301E-2</v>
      </c>
      <c r="E106" s="7">
        <v>-1.3552469242830101E-2</v>
      </c>
    </row>
    <row r="107" spans="1:5" x14ac:dyDescent="0.25">
      <c r="A107" t="s">
        <v>1039</v>
      </c>
      <c r="B107" s="4">
        <v>19201.3</v>
      </c>
      <c r="C107">
        <f>B107/'PIB em dol'!G105</f>
        <v>4.6097797538736329E-2</v>
      </c>
      <c r="E107" s="7">
        <v>4.0178367331513601E-2</v>
      </c>
    </row>
    <row r="108" spans="1:5" x14ac:dyDescent="0.25">
      <c r="A108" t="s">
        <v>1040</v>
      </c>
      <c r="B108" s="4">
        <v>8973.7999999999993</v>
      </c>
      <c r="C108">
        <f>B108/'PIB em dol'!G106</f>
        <v>2.0423964895670221E-2</v>
      </c>
      <c r="E108" s="7">
        <v>1.7881944130809901E-2</v>
      </c>
    </row>
    <row r="109" spans="1:5" x14ac:dyDescent="0.25">
      <c r="A109" t="s">
        <v>1041</v>
      </c>
      <c r="B109" s="4">
        <v>-5233.3</v>
      </c>
      <c r="C109">
        <f>B109/'PIB em dol'!G107</f>
        <v>-1.2394781842555267E-2</v>
      </c>
      <c r="E109" s="7">
        <v>-9.7120973191801505E-3</v>
      </c>
    </row>
    <row r="110" spans="1:5" x14ac:dyDescent="0.25">
      <c r="A110" t="s">
        <v>1042</v>
      </c>
      <c r="B110">
        <v>616.70000000000005</v>
      </c>
      <c r="C110">
        <f>B110/'PIB em dol'!G108</f>
        <v>1.3861510763068638E-3</v>
      </c>
      <c r="E110" s="7">
        <v>7.1694550656121103E-3</v>
      </c>
    </row>
    <row r="111" spans="1:5" x14ac:dyDescent="0.25">
      <c r="A111" t="s">
        <v>1043</v>
      </c>
      <c r="B111" s="4">
        <v>8349.7999999999993</v>
      </c>
      <c r="C111">
        <f>B111/'PIB em dol'!G109</f>
        <v>1.6345939258209381E-2</v>
      </c>
      <c r="E111" s="7">
        <v>1.0426509050986601E-2</v>
      </c>
    </row>
    <row r="112" spans="1:5" x14ac:dyDescent="0.25">
      <c r="A112" t="s">
        <v>1044</v>
      </c>
      <c r="B112">
        <v>-255.2</v>
      </c>
      <c r="C112">
        <f>B112/'PIB em dol'!G110</f>
        <v>-5.1613842703173882E-4</v>
      </c>
      <c r="E112" s="7">
        <v>-3.0581591918920799E-3</v>
      </c>
    </row>
    <row r="113" spans="1:5" x14ac:dyDescent="0.25">
      <c r="A113" t="s">
        <v>1045</v>
      </c>
      <c r="B113">
        <v>932.1</v>
      </c>
      <c r="C113">
        <f>B113/'PIB em dol'!G111</f>
        <v>1.8589429094520696E-3</v>
      </c>
      <c r="E113" s="7">
        <v>4.5416274328271902E-3</v>
      </c>
    </row>
    <row r="114" spans="1:5" x14ac:dyDescent="0.25">
      <c r="A114" t="s">
        <v>1046</v>
      </c>
      <c r="B114" s="4">
        <v>5337.7</v>
      </c>
      <c r="C114">
        <f>B114/'PIB em dol'!G112</f>
        <v>1.076192588410823E-2</v>
      </c>
      <c r="E114" s="7">
        <v>1.6545229873413499E-2</v>
      </c>
    </row>
    <row r="115" spans="1:5" x14ac:dyDescent="0.25">
      <c r="A115" t="s">
        <v>1047</v>
      </c>
      <c r="B115" s="4">
        <v>16025.4</v>
      </c>
      <c r="C115">
        <f>B115/'PIB em dol'!G113</f>
        <v>2.9120677436354055E-2</v>
      </c>
      <c r="E115" s="7">
        <v>2.3201247229131298E-2</v>
      </c>
    </row>
    <row r="116" spans="1:5" x14ac:dyDescent="0.25">
      <c r="A116" t="s">
        <v>1048</v>
      </c>
      <c r="B116" s="4">
        <v>14161.2</v>
      </c>
      <c r="C116">
        <f>B116/'PIB em dol'!G114</f>
        <v>2.4979538270489952E-2</v>
      </c>
      <c r="E116" s="7">
        <v>2.2437517505629601E-2</v>
      </c>
    </row>
    <row r="117" spans="1:5" x14ac:dyDescent="0.25">
      <c r="A117" t="s">
        <v>1049</v>
      </c>
      <c r="B117" s="4">
        <v>13045.2</v>
      </c>
      <c r="C117">
        <f>B117/'PIB em dol'!G115</f>
        <v>2.2577753162913862E-2</v>
      </c>
      <c r="E117" s="7">
        <v>2.5260437686289001E-2</v>
      </c>
    </row>
    <row r="118" spans="1:5" x14ac:dyDescent="0.25">
      <c r="A118" t="s">
        <v>1050</v>
      </c>
      <c r="B118" s="4">
        <v>5159.8999999999996</v>
      </c>
      <c r="C118">
        <f>B118/'PIB em dol'!G116</f>
        <v>9.2634349338800541E-3</v>
      </c>
      <c r="E118" s="7">
        <v>1.50467389231853E-2</v>
      </c>
    </row>
    <row r="119" spans="1:5" x14ac:dyDescent="0.25">
      <c r="A119" t="s">
        <v>1051</v>
      </c>
      <c r="B119" s="4">
        <v>7495.3</v>
      </c>
      <c r="C119">
        <f>B119/'PIB em dol'!G117</f>
        <v>1.3349374501310841E-2</v>
      </c>
      <c r="E119" s="7">
        <v>7.4299442940880698E-3</v>
      </c>
    </row>
    <row r="120" spans="1:5" x14ac:dyDescent="0.25">
      <c r="A120" t="s">
        <v>1052</v>
      </c>
      <c r="B120">
        <v>-362.2</v>
      </c>
      <c r="C120">
        <f>B120/'PIB em dol'!G118</f>
        <v>-6.6773962210583179E-4</v>
      </c>
      <c r="E120" s="7">
        <v>-3.2097603869661699E-3</v>
      </c>
    </row>
    <row r="121" spans="1:5" x14ac:dyDescent="0.25">
      <c r="A121" t="s">
        <v>1053</v>
      </c>
      <c r="B121">
        <v>-777.6</v>
      </c>
      <c r="C121">
        <f>B121/'PIB em dol'!G119</f>
        <v>-1.4842413877351576E-3</v>
      </c>
      <c r="E121" s="7">
        <v>1.19844313563996E-3</v>
      </c>
    </row>
    <row r="122" spans="1:5" x14ac:dyDescent="0.25">
      <c r="A122" t="s">
        <v>1054</v>
      </c>
      <c r="B122" s="4">
        <v>-4895</v>
      </c>
      <c r="C122">
        <f>B122/'PIB em dol'!G120</f>
        <v>-9.4684147610555099E-3</v>
      </c>
      <c r="E122" s="7">
        <v>-3.6851107717502701E-3</v>
      </c>
    </row>
    <row r="123" spans="1:5" x14ac:dyDescent="0.25">
      <c r="A123" t="s">
        <v>1055</v>
      </c>
      <c r="B123" s="4">
        <v>5545.2</v>
      </c>
      <c r="C123">
        <f>B123/'PIB em dol'!G121</f>
        <v>9.8360655737704909E-3</v>
      </c>
      <c r="E123" s="7">
        <v>3.91663536654772E-3</v>
      </c>
    </row>
    <row r="124" spans="1:5" x14ac:dyDescent="0.25">
      <c r="A124" t="s">
        <v>1056</v>
      </c>
      <c r="B124">
        <v>687.8</v>
      </c>
      <c r="C124">
        <f>B124/'PIB em dol'!G122</f>
        <v>1.1597340604012699E-3</v>
      </c>
      <c r="E124" s="7">
        <v>-1.38228670445907E-3</v>
      </c>
    </row>
    <row r="125" spans="1:5" x14ac:dyDescent="0.25">
      <c r="A125" t="s">
        <v>1057</v>
      </c>
      <c r="B125" s="4">
        <v>7748.2</v>
      </c>
      <c r="C125">
        <f>B125/'PIB em dol'!G123</f>
        <v>1.2763020481582388E-2</v>
      </c>
      <c r="E125" s="7">
        <v>1.54457050049575E-2</v>
      </c>
    </row>
    <row r="126" spans="1:5" x14ac:dyDescent="0.25">
      <c r="A126" t="s">
        <v>1058</v>
      </c>
      <c r="B126">
        <v>-128.5</v>
      </c>
      <c r="C126">
        <f>B126/'PIB em dol'!G124</f>
        <v>-2.078672496655521E-4</v>
      </c>
      <c r="E126" s="7">
        <v>5.5754367396396902E-3</v>
      </c>
    </row>
    <row r="127" spans="1:5" x14ac:dyDescent="0.25">
      <c r="A127" t="s">
        <v>1196</v>
      </c>
      <c r="B127" s="4">
        <v>10116.5</v>
      </c>
      <c r="C127">
        <f>B127/'PIB em dol'!G125</f>
        <v>1.4904186844125174E-2</v>
      </c>
      <c r="E127" s="7">
        <v>8.9847566369024006E-3</v>
      </c>
    </row>
    <row r="128" spans="1:5" x14ac:dyDescent="0.25">
      <c r="A128" t="s">
        <v>1059</v>
      </c>
      <c r="B128" t="s">
        <v>1197</v>
      </c>
    </row>
  </sheetData>
  <pageMargins left="0.511811024" right="0.511811024" top="0.78740157499999996" bottom="0.78740157499999996" header="0.31496062000000002" footer="0.31496062000000002"/>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987DC-6E0F-4C3D-BF16-669A5B0167BF}">
  <dimension ref="B1:J440"/>
  <sheetViews>
    <sheetView workbookViewId="0">
      <selection activeCell="J4" sqref="J4"/>
    </sheetView>
  </sheetViews>
  <sheetFormatPr defaultRowHeight="15" x14ac:dyDescent="0.25"/>
  <sheetData>
    <row r="1" spans="2:10" x14ac:dyDescent="0.25">
      <c r="B1" t="s">
        <v>936</v>
      </c>
      <c r="C1" t="s">
        <v>1198</v>
      </c>
      <c r="F1" s="5"/>
      <c r="I1" s="5"/>
    </row>
    <row r="2" spans="2:10" x14ac:dyDescent="0.25">
      <c r="B2" s="5">
        <v>32874</v>
      </c>
      <c r="C2" s="6">
        <v>37961</v>
      </c>
      <c r="F2" s="5"/>
      <c r="I2" s="5"/>
    </row>
    <row r="3" spans="2:10" x14ac:dyDescent="0.25">
      <c r="B3" s="5">
        <v>32905</v>
      </c>
      <c r="C3" s="6">
        <v>36937</v>
      </c>
      <c r="F3" s="5"/>
      <c r="I3" s="5"/>
    </row>
    <row r="4" spans="2:10" x14ac:dyDescent="0.25">
      <c r="B4" s="5">
        <v>32933</v>
      </c>
      <c r="C4" s="6">
        <v>37177</v>
      </c>
      <c r="D4" s="6"/>
      <c r="F4" s="5">
        <v>35125</v>
      </c>
      <c r="G4">
        <f>VLOOKUP(F4,B3:D440,3,FALSE)</f>
        <v>199236</v>
      </c>
      <c r="I4" s="5">
        <v>35125</v>
      </c>
      <c r="J4">
        <f>VLOOKUP(I4,B3:E440,4,FALSE)</f>
        <v>195956.25</v>
      </c>
    </row>
    <row r="5" spans="2:10" x14ac:dyDescent="0.25">
      <c r="B5" s="5">
        <v>32964</v>
      </c>
      <c r="C5" s="6">
        <v>33833</v>
      </c>
      <c r="D5" s="6">
        <f>SUM(C3:C5)</f>
        <v>107947</v>
      </c>
      <c r="F5" s="5">
        <f>EDATE(F4,3)</f>
        <v>35217</v>
      </c>
      <c r="G5">
        <f t="shared" ref="G5:G68" si="0">VLOOKUP(F5,B4:D441,3,FALSE)</f>
        <v>207745</v>
      </c>
      <c r="I5" s="5">
        <v>35217</v>
      </c>
      <c r="J5">
        <f t="shared" ref="J5:J68" si="1">VLOOKUP(I5,B4:E441,4,FALSE)</f>
        <v>199754.75</v>
      </c>
    </row>
    <row r="6" spans="2:10" x14ac:dyDescent="0.25">
      <c r="B6" s="5">
        <v>32994</v>
      </c>
      <c r="C6" s="6">
        <v>38343</v>
      </c>
      <c r="D6" s="6">
        <f t="shared" ref="D6:D69" si="2">SUM(C4:C6)</f>
        <v>109353</v>
      </c>
      <c r="F6" s="5">
        <f t="shared" ref="F6:F69" si="3">EDATE(F5,3)</f>
        <v>35309</v>
      </c>
      <c r="G6">
        <f t="shared" si="0"/>
        <v>224469</v>
      </c>
      <c r="I6" s="5">
        <v>35309</v>
      </c>
      <c r="J6">
        <f t="shared" si="1"/>
        <v>206426.5</v>
      </c>
    </row>
    <row r="7" spans="2:10" x14ac:dyDescent="0.25">
      <c r="B7" s="5">
        <v>33025</v>
      </c>
      <c r="C7" s="6">
        <v>39533</v>
      </c>
      <c r="D7" s="6">
        <f t="shared" si="2"/>
        <v>111709</v>
      </c>
      <c r="F7" s="5">
        <f t="shared" si="3"/>
        <v>35400</v>
      </c>
      <c r="G7">
        <f t="shared" si="0"/>
        <v>219568</v>
      </c>
      <c r="I7" s="5">
        <v>35400</v>
      </c>
      <c r="J7">
        <f t="shared" si="1"/>
        <v>212754.5</v>
      </c>
    </row>
    <row r="8" spans="2:10" x14ac:dyDescent="0.25">
      <c r="B8" s="5">
        <v>33055</v>
      </c>
      <c r="C8" s="6">
        <v>40227</v>
      </c>
      <c r="D8" s="6">
        <f t="shared" si="2"/>
        <v>118103</v>
      </c>
      <c r="F8" s="5">
        <f t="shared" si="3"/>
        <v>35490</v>
      </c>
      <c r="G8">
        <f t="shared" si="0"/>
        <v>208043</v>
      </c>
      <c r="I8" s="5">
        <v>35490</v>
      </c>
      <c r="J8">
        <f t="shared" si="1"/>
        <v>214956.25</v>
      </c>
    </row>
    <row r="9" spans="2:10" x14ac:dyDescent="0.25">
      <c r="B9" s="5">
        <v>33086</v>
      </c>
      <c r="C9" s="6">
        <v>42868</v>
      </c>
      <c r="D9" s="6">
        <f t="shared" si="2"/>
        <v>122628</v>
      </c>
      <c r="F9" s="5">
        <f t="shared" si="3"/>
        <v>35582</v>
      </c>
      <c r="G9">
        <f t="shared" si="0"/>
        <v>218405</v>
      </c>
      <c r="I9" s="5">
        <v>35582</v>
      </c>
      <c r="J9">
        <f t="shared" si="1"/>
        <v>217621.25</v>
      </c>
    </row>
    <row r="10" spans="2:10" x14ac:dyDescent="0.25">
      <c r="B10" s="5">
        <v>33117</v>
      </c>
      <c r="C10" s="6">
        <v>42315</v>
      </c>
      <c r="D10" s="6">
        <f t="shared" si="2"/>
        <v>125410</v>
      </c>
      <c r="F10" s="5">
        <f t="shared" si="3"/>
        <v>35674</v>
      </c>
      <c r="G10">
        <f t="shared" si="0"/>
        <v>229146</v>
      </c>
      <c r="I10" s="5">
        <v>35674</v>
      </c>
      <c r="J10">
        <f t="shared" si="1"/>
        <v>218790.5</v>
      </c>
    </row>
    <row r="11" spans="2:10" x14ac:dyDescent="0.25">
      <c r="B11" s="5">
        <v>33147</v>
      </c>
      <c r="C11" s="6">
        <v>42440</v>
      </c>
      <c r="D11" s="6">
        <f t="shared" si="2"/>
        <v>127623</v>
      </c>
      <c r="F11" s="5">
        <f t="shared" si="3"/>
        <v>35765</v>
      </c>
      <c r="G11">
        <f t="shared" si="0"/>
        <v>227687</v>
      </c>
      <c r="I11" s="5">
        <v>35765</v>
      </c>
      <c r="J11">
        <f t="shared" si="1"/>
        <v>220820.25</v>
      </c>
    </row>
    <row r="12" spans="2:10" x14ac:dyDescent="0.25">
      <c r="B12" s="5">
        <v>33178</v>
      </c>
      <c r="C12" s="6">
        <v>41336</v>
      </c>
      <c r="D12" s="6">
        <f t="shared" si="2"/>
        <v>126091</v>
      </c>
      <c r="F12" s="5">
        <f t="shared" si="3"/>
        <v>35855</v>
      </c>
      <c r="G12">
        <f t="shared" si="0"/>
        <v>204708</v>
      </c>
      <c r="I12" s="5">
        <v>35855</v>
      </c>
      <c r="J12">
        <f t="shared" si="1"/>
        <v>219986.5</v>
      </c>
    </row>
    <row r="13" spans="2:10" x14ac:dyDescent="0.25">
      <c r="B13" s="5">
        <v>33208</v>
      </c>
      <c r="C13" s="6">
        <v>36348</v>
      </c>
      <c r="D13" s="6">
        <f t="shared" si="2"/>
        <v>120124</v>
      </c>
      <c r="E13" s="6">
        <f>SUM(C2:C13)/4</f>
        <v>117329.5</v>
      </c>
      <c r="F13" s="5">
        <f t="shared" si="3"/>
        <v>35947</v>
      </c>
      <c r="G13">
        <f t="shared" si="0"/>
        <v>216187</v>
      </c>
      <c r="I13" s="5">
        <v>35947</v>
      </c>
      <c r="J13">
        <f t="shared" si="1"/>
        <v>219432</v>
      </c>
    </row>
    <row r="14" spans="2:10" x14ac:dyDescent="0.25">
      <c r="B14" s="5">
        <v>33239</v>
      </c>
      <c r="C14" s="6">
        <v>30451</v>
      </c>
      <c r="D14" s="6">
        <f t="shared" si="2"/>
        <v>108135</v>
      </c>
      <c r="E14" s="6">
        <f t="shared" ref="E14:E77" si="4">SUM(C3:C14)/4</f>
        <v>115452</v>
      </c>
      <c r="F14" s="5">
        <f t="shared" si="3"/>
        <v>36039</v>
      </c>
      <c r="G14">
        <f t="shared" si="0"/>
        <v>224265</v>
      </c>
      <c r="I14" s="5">
        <v>36039</v>
      </c>
      <c r="J14">
        <f t="shared" si="1"/>
        <v>218211.75</v>
      </c>
    </row>
    <row r="15" spans="2:10" x14ac:dyDescent="0.25">
      <c r="B15" s="5">
        <v>33270</v>
      </c>
      <c r="C15" s="6">
        <v>29244</v>
      </c>
      <c r="D15" s="6">
        <f t="shared" si="2"/>
        <v>96043</v>
      </c>
      <c r="E15" s="6">
        <f t="shared" si="4"/>
        <v>113528.75</v>
      </c>
      <c r="F15" s="5">
        <f t="shared" si="3"/>
        <v>36130</v>
      </c>
      <c r="G15">
        <f t="shared" si="0"/>
        <v>218712</v>
      </c>
      <c r="I15" s="5">
        <v>36130</v>
      </c>
      <c r="J15">
        <f t="shared" si="1"/>
        <v>215968</v>
      </c>
    </row>
    <row r="16" spans="2:10" x14ac:dyDescent="0.25">
      <c r="B16" s="5">
        <v>33298</v>
      </c>
      <c r="C16" s="6">
        <v>29646</v>
      </c>
      <c r="D16" s="6">
        <f t="shared" si="2"/>
        <v>89341</v>
      </c>
      <c r="E16" s="6">
        <f t="shared" si="4"/>
        <v>111646</v>
      </c>
      <c r="F16" s="5">
        <f t="shared" si="3"/>
        <v>36220</v>
      </c>
      <c r="G16">
        <f t="shared" si="0"/>
        <v>141714</v>
      </c>
      <c r="I16" s="5">
        <v>36220</v>
      </c>
      <c r="J16">
        <f t="shared" si="1"/>
        <v>200219.5</v>
      </c>
    </row>
    <row r="17" spans="2:10" x14ac:dyDescent="0.25">
      <c r="B17" s="5">
        <v>33329</v>
      </c>
      <c r="C17" s="6">
        <v>32828</v>
      </c>
      <c r="D17" s="6">
        <f t="shared" si="2"/>
        <v>91718</v>
      </c>
      <c r="E17" s="6">
        <f t="shared" si="4"/>
        <v>111394.75</v>
      </c>
      <c r="F17" s="5">
        <f t="shared" si="3"/>
        <v>36312</v>
      </c>
      <c r="G17">
        <f t="shared" si="0"/>
        <v>148541</v>
      </c>
      <c r="I17" s="5">
        <v>36312</v>
      </c>
      <c r="J17">
        <f t="shared" si="1"/>
        <v>183308</v>
      </c>
    </row>
    <row r="18" spans="2:10" x14ac:dyDescent="0.25">
      <c r="B18" s="5">
        <v>33359</v>
      </c>
      <c r="C18" s="6">
        <v>34587</v>
      </c>
      <c r="D18" s="6">
        <f t="shared" si="2"/>
        <v>97061</v>
      </c>
      <c r="E18" s="6">
        <f t="shared" si="4"/>
        <v>110455.75</v>
      </c>
      <c r="F18" s="5">
        <f t="shared" si="3"/>
        <v>36404</v>
      </c>
      <c r="G18">
        <f t="shared" si="0"/>
        <v>154115</v>
      </c>
      <c r="I18" s="5">
        <v>36404</v>
      </c>
      <c r="J18">
        <f t="shared" si="1"/>
        <v>165770.5</v>
      </c>
    </row>
    <row r="19" spans="2:10" x14ac:dyDescent="0.25">
      <c r="B19" s="5">
        <v>33390</v>
      </c>
      <c r="C19" s="6">
        <v>35085</v>
      </c>
      <c r="D19" s="6">
        <f t="shared" si="2"/>
        <v>102500</v>
      </c>
      <c r="E19" s="6">
        <f t="shared" si="4"/>
        <v>109343.75</v>
      </c>
      <c r="F19" s="5">
        <f t="shared" si="3"/>
        <v>36495</v>
      </c>
      <c r="G19">
        <f t="shared" si="0"/>
        <v>154920</v>
      </c>
      <c r="I19" s="5">
        <v>36495</v>
      </c>
      <c r="J19">
        <f t="shared" si="1"/>
        <v>149822.5</v>
      </c>
    </row>
    <row r="20" spans="2:10" x14ac:dyDescent="0.25">
      <c r="B20" s="5">
        <v>33420</v>
      </c>
      <c r="C20" s="6">
        <v>36544</v>
      </c>
      <c r="D20" s="6">
        <f t="shared" si="2"/>
        <v>106216</v>
      </c>
      <c r="E20" s="6">
        <f t="shared" si="4"/>
        <v>108423</v>
      </c>
      <c r="F20" s="5">
        <f t="shared" si="3"/>
        <v>36586</v>
      </c>
      <c r="G20">
        <f t="shared" si="0"/>
        <v>154920</v>
      </c>
      <c r="I20" s="5">
        <v>36586</v>
      </c>
      <c r="J20">
        <f t="shared" si="1"/>
        <v>153124</v>
      </c>
    </row>
    <row r="21" spans="2:10" x14ac:dyDescent="0.25">
      <c r="B21" s="5">
        <v>33451</v>
      </c>
      <c r="C21" s="6">
        <v>37802</v>
      </c>
      <c r="D21" s="6">
        <f t="shared" si="2"/>
        <v>109431</v>
      </c>
      <c r="E21" s="6">
        <f t="shared" si="4"/>
        <v>107156.5</v>
      </c>
      <c r="F21" s="5">
        <f t="shared" si="3"/>
        <v>36678</v>
      </c>
      <c r="G21">
        <f t="shared" si="0"/>
        <v>161772</v>
      </c>
      <c r="I21" s="5">
        <v>36678</v>
      </c>
      <c r="J21">
        <f t="shared" si="1"/>
        <v>156431.75</v>
      </c>
    </row>
    <row r="22" spans="2:10" x14ac:dyDescent="0.25">
      <c r="B22" s="5">
        <v>33482</v>
      </c>
      <c r="C22" s="6">
        <v>35901</v>
      </c>
      <c r="D22" s="6">
        <f t="shared" si="2"/>
        <v>110247</v>
      </c>
      <c r="E22" s="6">
        <f t="shared" si="4"/>
        <v>105553</v>
      </c>
      <c r="F22" s="5">
        <f t="shared" si="3"/>
        <v>36770</v>
      </c>
      <c r="G22">
        <f t="shared" si="0"/>
        <v>169058</v>
      </c>
      <c r="I22" s="5">
        <v>36770</v>
      </c>
      <c r="J22">
        <f t="shared" si="1"/>
        <v>160167.5</v>
      </c>
    </row>
    <row r="23" spans="2:10" x14ac:dyDescent="0.25">
      <c r="B23" s="5">
        <v>33512</v>
      </c>
      <c r="C23" s="6">
        <v>36887</v>
      </c>
      <c r="D23" s="6">
        <f t="shared" si="2"/>
        <v>110590</v>
      </c>
      <c r="E23" s="6">
        <f t="shared" si="4"/>
        <v>104164.75</v>
      </c>
      <c r="F23" s="5">
        <f t="shared" si="3"/>
        <v>36861</v>
      </c>
      <c r="G23">
        <f t="shared" si="0"/>
        <v>169958</v>
      </c>
      <c r="I23" s="5">
        <v>36861</v>
      </c>
      <c r="J23">
        <f t="shared" si="1"/>
        <v>163927</v>
      </c>
    </row>
    <row r="24" spans="2:10" x14ac:dyDescent="0.25">
      <c r="B24" s="5">
        <v>33543</v>
      </c>
      <c r="C24" s="6">
        <v>35081</v>
      </c>
      <c r="D24" s="6">
        <f t="shared" si="2"/>
        <v>107869</v>
      </c>
      <c r="E24" s="6">
        <f t="shared" si="4"/>
        <v>102601</v>
      </c>
      <c r="F24" s="5">
        <f t="shared" si="3"/>
        <v>36951</v>
      </c>
      <c r="G24">
        <f t="shared" si="0"/>
        <v>135716</v>
      </c>
      <c r="I24" s="5">
        <v>36951</v>
      </c>
      <c r="J24">
        <f t="shared" si="1"/>
        <v>159126</v>
      </c>
    </row>
    <row r="25" spans="2:10" x14ac:dyDescent="0.25">
      <c r="B25" s="5">
        <v>33573</v>
      </c>
      <c r="C25" s="6">
        <v>31623</v>
      </c>
      <c r="D25" s="6">
        <f t="shared" si="2"/>
        <v>103591</v>
      </c>
      <c r="E25" s="6">
        <f t="shared" si="4"/>
        <v>101419.75</v>
      </c>
      <c r="F25" s="5">
        <f t="shared" si="3"/>
        <v>37043</v>
      </c>
      <c r="G25">
        <f t="shared" si="0"/>
        <v>140033</v>
      </c>
      <c r="I25" s="5">
        <v>37043</v>
      </c>
      <c r="J25">
        <f t="shared" si="1"/>
        <v>153691.25</v>
      </c>
    </row>
    <row r="26" spans="2:10" x14ac:dyDescent="0.25">
      <c r="B26" s="5">
        <v>33604</v>
      </c>
      <c r="C26" s="6">
        <v>29634</v>
      </c>
      <c r="D26" s="6">
        <f t="shared" si="2"/>
        <v>96338</v>
      </c>
      <c r="E26" s="6">
        <f t="shared" si="4"/>
        <v>101215.5</v>
      </c>
      <c r="F26" s="5">
        <f t="shared" si="3"/>
        <v>37135</v>
      </c>
      <c r="G26">
        <f t="shared" si="0"/>
        <v>142787</v>
      </c>
      <c r="I26" s="5">
        <v>37135</v>
      </c>
      <c r="J26">
        <f t="shared" si="1"/>
        <v>147123.5</v>
      </c>
    </row>
    <row r="27" spans="2:10" x14ac:dyDescent="0.25">
      <c r="B27" s="5">
        <v>33635</v>
      </c>
      <c r="C27" s="6">
        <v>30318</v>
      </c>
      <c r="D27" s="6">
        <f t="shared" si="2"/>
        <v>91575</v>
      </c>
      <c r="E27" s="6">
        <f t="shared" si="4"/>
        <v>101484</v>
      </c>
      <c r="F27" s="5">
        <f t="shared" si="3"/>
        <v>37226</v>
      </c>
      <c r="G27">
        <f t="shared" si="0"/>
        <v>141025</v>
      </c>
      <c r="I27" s="5">
        <v>37226</v>
      </c>
      <c r="J27">
        <f t="shared" si="1"/>
        <v>139890.25</v>
      </c>
    </row>
    <row r="28" spans="2:10" x14ac:dyDescent="0.25">
      <c r="B28" s="5">
        <v>33664</v>
      </c>
      <c r="C28" s="6">
        <v>30894</v>
      </c>
      <c r="D28" s="6">
        <f t="shared" si="2"/>
        <v>90846</v>
      </c>
      <c r="E28" s="6">
        <f t="shared" si="4"/>
        <v>101796</v>
      </c>
      <c r="F28" s="5">
        <f t="shared" si="3"/>
        <v>37316</v>
      </c>
      <c r="G28">
        <f t="shared" si="0"/>
        <v>119709</v>
      </c>
      <c r="I28" s="5">
        <v>37316</v>
      </c>
      <c r="J28">
        <f t="shared" si="1"/>
        <v>135888.5</v>
      </c>
    </row>
    <row r="29" spans="2:10" x14ac:dyDescent="0.25">
      <c r="B29" s="5">
        <v>33695</v>
      </c>
      <c r="C29" s="6">
        <v>31137</v>
      </c>
      <c r="D29" s="6">
        <f t="shared" si="2"/>
        <v>92349</v>
      </c>
      <c r="E29" s="6">
        <f t="shared" si="4"/>
        <v>101373.25</v>
      </c>
      <c r="F29" s="5">
        <f t="shared" si="3"/>
        <v>37408</v>
      </c>
      <c r="G29">
        <f t="shared" si="0"/>
        <v>125861</v>
      </c>
      <c r="I29" s="5">
        <v>37408</v>
      </c>
      <c r="J29">
        <f t="shared" si="1"/>
        <v>132345.5</v>
      </c>
    </row>
    <row r="30" spans="2:10" x14ac:dyDescent="0.25">
      <c r="B30" s="5">
        <v>33725</v>
      </c>
      <c r="C30" s="6">
        <v>32212</v>
      </c>
      <c r="D30" s="6">
        <f t="shared" si="2"/>
        <v>94243</v>
      </c>
      <c r="E30" s="6">
        <f t="shared" si="4"/>
        <v>100779.5</v>
      </c>
      <c r="F30" s="5">
        <f t="shared" si="3"/>
        <v>37500</v>
      </c>
      <c r="G30">
        <f t="shared" si="0"/>
        <v>131024</v>
      </c>
      <c r="I30" s="5">
        <v>37500</v>
      </c>
      <c r="J30">
        <f t="shared" si="1"/>
        <v>129404.75</v>
      </c>
    </row>
    <row r="31" spans="2:10" x14ac:dyDescent="0.25">
      <c r="B31" s="5">
        <v>33756</v>
      </c>
      <c r="C31" s="6">
        <v>32871</v>
      </c>
      <c r="D31" s="6">
        <f t="shared" si="2"/>
        <v>96220</v>
      </c>
      <c r="E31" s="6">
        <f t="shared" si="4"/>
        <v>100226</v>
      </c>
      <c r="F31" s="5">
        <f t="shared" si="3"/>
        <v>37591</v>
      </c>
      <c r="G31">
        <f t="shared" si="0"/>
        <v>131508</v>
      </c>
      <c r="I31" s="5">
        <v>37591</v>
      </c>
      <c r="J31">
        <f t="shared" si="1"/>
        <v>127025.5</v>
      </c>
    </row>
    <row r="32" spans="2:10" x14ac:dyDescent="0.25">
      <c r="B32" s="5">
        <v>33786</v>
      </c>
      <c r="C32" s="6">
        <v>33731</v>
      </c>
      <c r="D32" s="6">
        <f t="shared" si="2"/>
        <v>98814</v>
      </c>
      <c r="E32" s="6">
        <f t="shared" si="4"/>
        <v>99522.75</v>
      </c>
      <c r="F32" s="5">
        <f t="shared" si="3"/>
        <v>37681</v>
      </c>
      <c r="G32">
        <f t="shared" si="0"/>
        <v>112798</v>
      </c>
      <c r="I32" s="5">
        <v>37681</v>
      </c>
      <c r="J32">
        <f t="shared" si="1"/>
        <v>125297.75</v>
      </c>
    </row>
    <row r="33" spans="2:10" x14ac:dyDescent="0.25">
      <c r="B33" s="5">
        <v>33817</v>
      </c>
      <c r="C33" s="6">
        <v>33627</v>
      </c>
      <c r="D33" s="6">
        <f t="shared" si="2"/>
        <v>100229</v>
      </c>
      <c r="E33" s="6">
        <f t="shared" si="4"/>
        <v>98479</v>
      </c>
      <c r="F33" s="5">
        <f t="shared" si="3"/>
        <v>37773</v>
      </c>
      <c r="G33">
        <f t="shared" si="0"/>
        <v>139278</v>
      </c>
      <c r="I33" s="5">
        <v>37773</v>
      </c>
      <c r="J33">
        <f t="shared" si="1"/>
        <v>128652</v>
      </c>
    </row>
    <row r="34" spans="2:10" x14ac:dyDescent="0.25">
      <c r="B34" s="5">
        <v>33848</v>
      </c>
      <c r="C34" s="6">
        <v>33553</v>
      </c>
      <c r="D34" s="6">
        <f t="shared" si="2"/>
        <v>100911</v>
      </c>
      <c r="E34" s="6">
        <f t="shared" si="4"/>
        <v>97892</v>
      </c>
      <c r="F34" s="5">
        <f t="shared" si="3"/>
        <v>37865</v>
      </c>
      <c r="G34">
        <f t="shared" si="0"/>
        <v>148703</v>
      </c>
      <c r="I34" s="5">
        <v>37865</v>
      </c>
      <c r="J34">
        <f t="shared" si="1"/>
        <v>133071.75</v>
      </c>
    </row>
    <row r="35" spans="2:10" x14ac:dyDescent="0.25">
      <c r="B35" s="5">
        <v>33878</v>
      </c>
      <c r="C35" s="6">
        <v>33842</v>
      </c>
      <c r="D35" s="6">
        <f t="shared" si="2"/>
        <v>101022</v>
      </c>
      <c r="E35" s="6">
        <f t="shared" si="4"/>
        <v>97130.75</v>
      </c>
      <c r="F35" s="5">
        <f t="shared" si="3"/>
        <v>37956</v>
      </c>
      <c r="G35">
        <f t="shared" si="0"/>
        <v>158686</v>
      </c>
      <c r="I35" s="5">
        <v>37956</v>
      </c>
      <c r="J35">
        <f t="shared" si="1"/>
        <v>139866.25</v>
      </c>
    </row>
    <row r="36" spans="2:10" x14ac:dyDescent="0.25">
      <c r="B36" s="5">
        <v>33909</v>
      </c>
      <c r="C36" s="6">
        <v>33843</v>
      </c>
      <c r="D36" s="6">
        <f t="shared" si="2"/>
        <v>101238</v>
      </c>
      <c r="E36" s="6">
        <f t="shared" si="4"/>
        <v>96821.25</v>
      </c>
      <c r="F36" s="5">
        <f t="shared" si="3"/>
        <v>38047</v>
      </c>
      <c r="G36">
        <f t="shared" si="0"/>
        <v>153226</v>
      </c>
      <c r="I36" s="5">
        <v>38047</v>
      </c>
      <c r="J36">
        <f t="shared" si="1"/>
        <v>149973.25</v>
      </c>
    </row>
    <row r="37" spans="2:10" x14ac:dyDescent="0.25">
      <c r="B37" s="5">
        <v>33939</v>
      </c>
      <c r="C37" s="6">
        <v>31633</v>
      </c>
      <c r="D37" s="6">
        <f t="shared" si="2"/>
        <v>99318</v>
      </c>
      <c r="E37" s="6">
        <f t="shared" si="4"/>
        <v>96823.75</v>
      </c>
      <c r="F37" s="5">
        <f t="shared" si="3"/>
        <v>38139</v>
      </c>
      <c r="G37">
        <f t="shared" si="0"/>
        <v>158184</v>
      </c>
      <c r="I37" s="5">
        <v>38139</v>
      </c>
      <c r="J37">
        <f t="shared" si="1"/>
        <v>154699.75</v>
      </c>
    </row>
    <row r="38" spans="2:10" x14ac:dyDescent="0.25">
      <c r="B38" s="5">
        <v>33970</v>
      </c>
      <c r="C38" s="6">
        <v>32222</v>
      </c>
      <c r="D38" s="6">
        <f t="shared" si="2"/>
        <v>97698</v>
      </c>
      <c r="E38" s="6">
        <f t="shared" si="4"/>
        <v>97470.75</v>
      </c>
      <c r="F38" s="5">
        <f t="shared" si="3"/>
        <v>38231</v>
      </c>
      <c r="G38">
        <f t="shared" si="0"/>
        <v>169609</v>
      </c>
      <c r="I38" s="5">
        <v>38231</v>
      </c>
      <c r="J38">
        <f t="shared" si="1"/>
        <v>159926.25</v>
      </c>
    </row>
    <row r="39" spans="2:10" x14ac:dyDescent="0.25">
      <c r="B39" s="5">
        <v>34001</v>
      </c>
      <c r="C39" s="6">
        <v>31898</v>
      </c>
      <c r="D39" s="6">
        <f t="shared" si="2"/>
        <v>95753</v>
      </c>
      <c r="E39" s="6">
        <f t="shared" si="4"/>
        <v>97865.75</v>
      </c>
      <c r="F39" s="5">
        <f t="shared" si="3"/>
        <v>38322</v>
      </c>
      <c r="G39">
        <f t="shared" si="0"/>
        <v>188320</v>
      </c>
      <c r="I39" s="5">
        <v>38322</v>
      </c>
      <c r="J39">
        <f t="shared" si="1"/>
        <v>167334.75</v>
      </c>
    </row>
    <row r="40" spans="2:10" x14ac:dyDescent="0.25">
      <c r="B40" s="5">
        <v>34029</v>
      </c>
      <c r="C40" s="6">
        <v>35245</v>
      </c>
      <c r="D40" s="6">
        <f t="shared" si="2"/>
        <v>99365</v>
      </c>
      <c r="E40" s="6">
        <f t="shared" si="4"/>
        <v>98953.5</v>
      </c>
      <c r="F40" s="5">
        <f t="shared" si="3"/>
        <v>38412</v>
      </c>
      <c r="G40">
        <f t="shared" si="0"/>
        <v>186355</v>
      </c>
      <c r="I40" s="5">
        <v>38412</v>
      </c>
      <c r="J40">
        <f t="shared" si="1"/>
        <v>175617</v>
      </c>
    </row>
    <row r="41" spans="2:10" x14ac:dyDescent="0.25">
      <c r="B41" s="5">
        <v>34060</v>
      </c>
      <c r="C41" s="6">
        <v>35410</v>
      </c>
      <c r="D41" s="6">
        <f t="shared" si="2"/>
        <v>102553</v>
      </c>
      <c r="E41" s="6">
        <f t="shared" si="4"/>
        <v>100021.75</v>
      </c>
      <c r="F41" s="5">
        <f t="shared" si="3"/>
        <v>38504</v>
      </c>
      <c r="G41">
        <f t="shared" si="0"/>
        <v>214308</v>
      </c>
      <c r="I41" s="5">
        <v>38504</v>
      </c>
      <c r="J41">
        <f t="shared" si="1"/>
        <v>189648</v>
      </c>
    </row>
    <row r="42" spans="2:10" x14ac:dyDescent="0.25">
      <c r="B42" s="5">
        <v>34090</v>
      </c>
      <c r="C42" s="6">
        <v>36082</v>
      </c>
      <c r="D42" s="6">
        <f t="shared" si="2"/>
        <v>106737</v>
      </c>
      <c r="E42" s="6">
        <f t="shared" si="4"/>
        <v>100989.25</v>
      </c>
      <c r="F42" s="5">
        <f t="shared" si="3"/>
        <v>38596</v>
      </c>
      <c r="G42">
        <f t="shared" si="0"/>
        <v>234161</v>
      </c>
      <c r="I42" s="5">
        <v>38596</v>
      </c>
      <c r="J42">
        <f t="shared" si="1"/>
        <v>205786</v>
      </c>
    </row>
    <row r="43" spans="2:10" x14ac:dyDescent="0.25">
      <c r="B43" s="5">
        <v>34121</v>
      </c>
      <c r="C43" s="6">
        <v>36143</v>
      </c>
      <c r="D43" s="6">
        <f t="shared" si="2"/>
        <v>107635</v>
      </c>
      <c r="E43" s="6">
        <f t="shared" si="4"/>
        <v>101807.25</v>
      </c>
      <c r="F43" s="5">
        <f t="shared" si="3"/>
        <v>38687</v>
      </c>
      <c r="G43">
        <f t="shared" si="0"/>
        <v>257208</v>
      </c>
      <c r="I43" s="5">
        <v>38687</v>
      </c>
      <c r="J43">
        <f t="shared" si="1"/>
        <v>223008</v>
      </c>
    </row>
    <row r="44" spans="2:10" x14ac:dyDescent="0.25">
      <c r="B44" s="5">
        <v>34151</v>
      </c>
      <c r="C44" s="6">
        <v>37284</v>
      </c>
      <c r="D44" s="6">
        <f t="shared" si="2"/>
        <v>109509</v>
      </c>
      <c r="E44" s="6">
        <f t="shared" si="4"/>
        <v>102695.5</v>
      </c>
      <c r="F44" s="5">
        <f t="shared" si="3"/>
        <v>38777</v>
      </c>
      <c r="G44">
        <f t="shared" si="0"/>
        <v>251891</v>
      </c>
      <c r="I44" s="5">
        <v>38777</v>
      </c>
      <c r="J44">
        <f t="shared" si="1"/>
        <v>239392</v>
      </c>
    </row>
    <row r="45" spans="2:10" x14ac:dyDescent="0.25">
      <c r="B45" s="5">
        <v>34182</v>
      </c>
      <c r="C45" s="6">
        <v>37890</v>
      </c>
      <c r="D45" s="6">
        <f t="shared" si="2"/>
        <v>111317</v>
      </c>
      <c r="E45" s="6">
        <f t="shared" si="4"/>
        <v>103761.25</v>
      </c>
      <c r="F45" s="5">
        <f t="shared" si="3"/>
        <v>38869</v>
      </c>
      <c r="G45">
        <f t="shared" si="0"/>
        <v>266195</v>
      </c>
      <c r="I45" s="5">
        <v>38869</v>
      </c>
      <c r="J45">
        <f t="shared" si="1"/>
        <v>252363.75</v>
      </c>
    </row>
    <row r="46" spans="2:10" x14ac:dyDescent="0.25">
      <c r="B46" s="5">
        <v>34213</v>
      </c>
      <c r="C46" s="6">
        <v>37695</v>
      </c>
      <c r="D46" s="6">
        <f t="shared" si="2"/>
        <v>112869</v>
      </c>
      <c r="E46" s="6">
        <f t="shared" si="4"/>
        <v>104796.75</v>
      </c>
      <c r="F46" s="5">
        <f t="shared" si="3"/>
        <v>38961</v>
      </c>
      <c r="G46">
        <f t="shared" si="0"/>
        <v>284639</v>
      </c>
      <c r="I46" s="5">
        <v>38961</v>
      </c>
      <c r="J46">
        <f t="shared" si="1"/>
        <v>264983.25</v>
      </c>
    </row>
    <row r="47" spans="2:10" x14ac:dyDescent="0.25">
      <c r="B47" s="5">
        <v>34243</v>
      </c>
      <c r="C47" s="6">
        <v>37272</v>
      </c>
      <c r="D47" s="6">
        <f t="shared" si="2"/>
        <v>112857</v>
      </c>
      <c r="E47" s="6">
        <f t="shared" si="4"/>
        <v>105654.25</v>
      </c>
      <c r="F47" s="5">
        <f t="shared" si="3"/>
        <v>39052</v>
      </c>
      <c r="G47">
        <f t="shared" si="0"/>
        <v>304407</v>
      </c>
      <c r="I47" s="5">
        <v>39052</v>
      </c>
      <c r="J47">
        <f t="shared" si="1"/>
        <v>276783</v>
      </c>
    </row>
    <row r="48" spans="2:10" x14ac:dyDescent="0.25">
      <c r="B48" s="5">
        <v>34274</v>
      </c>
      <c r="C48" s="6">
        <v>37313</v>
      </c>
      <c r="D48" s="6">
        <f t="shared" si="2"/>
        <v>112280</v>
      </c>
      <c r="E48" s="6">
        <f t="shared" si="4"/>
        <v>106521.75</v>
      </c>
      <c r="F48" s="5">
        <f t="shared" si="3"/>
        <v>39142</v>
      </c>
      <c r="G48">
        <f t="shared" si="0"/>
        <v>298930</v>
      </c>
      <c r="I48" s="5">
        <v>39142</v>
      </c>
      <c r="J48">
        <f t="shared" si="1"/>
        <v>288542.75</v>
      </c>
    </row>
    <row r="49" spans="2:10" x14ac:dyDescent="0.25">
      <c r="B49" s="5">
        <v>34304</v>
      </c>
      <c r="C49" s="6">
        <v>35231</v>
      </c>
      <c r="D49" s="6">
        <f t="shared" si="2"/>
        <v>109816</v>
      </c>
      <c r="E49" s="6">
        <f t="shared" si="4"/>
        <v>107421.25</v>
      </c>
      <c r="F49" s="5">
        <f t="shared" si="3"/>
        <v>39234</v>
      </c>
      <c r="G49">
        <f t="shared" si="0"/>
        <v>336975</v>
      </c>
      <c r="I49" s="5">
        <v>39234</v>
      </c>
      <c r="J49">
        <f t="shared" si="1"/>
        <v>306237.75</v>
      </c>
    </row>
    <row r="50" spans="2:10" x14ac:dyDescent="0.25">
      <c r="B50" s="5">
        <v>34335</v>
      </c>
      <c r="C50" s="6">
        <v>40458</v>
      </c>
      <c r="D50" s="6">
        <f t="shared" si="2"/>
        <v>113002</v>
      </c>
      <c r="E50" s="6">
        <f t="shared" si="4"/>
        <v>109480.25</v>
      </c>
      <c r="F50" s="5">
        <f t="shared" si="3"/>
        <v>39326</v>
      </c>
      <c r="G50">
        <f t="shared" si="0"/>
        <v>358411</v>
      </c>
      <c r="I50" s="5">
        <v>39326</v>
      </c>
      <c r="J50">
        <f t="shared" si="1"/>
        <v>324680.75</v>
      </c>
    </row>
    <row r="51" spans="2:10" x14ac:dyDescent="0.25">
      <c r="B51" s="5">
        <v>34366</v>
      </c>
      <c r="C51" s="6">
        <v>39323</v>
      </c>
      <c r="D51" s="6">
        <f t="shared" si="2"/>
        <v>115012</v>
      </c>
      <c r="E51" s="6">
        <f t="shared" si="4"/>
        <v>111336.5</v>
      </c>
      <c r="F51" s="5">
        <f t="shared" si="3"/>
        <v>39417</v>
      </c>
      <c r="G51">
        <f t="shared" si="0"/>
        <v>402481</v>
      </c>
      <c r="I51" s="5">
        <v>39417</v>
      </c>
      <c r="J51">
        <f t="shared" si="1"/>
        <v>349199.25</v>
      </c>
    </row>
    <row r="52" spans="2:10" x14ac:dyDescent="0.25">
      <c r="B52" s="5">
        <v>34394</v>
      </c>
      <c r="C52" s="6">
        <v>43535</v>
      </c>
      <c r="D52" s="6">
        <f t="shared" si="2"/>
        <v>123316</v>
      </c>
      <c r="E52" s="6">
        <f t="shared" si="4"/>
        <v>113409</v>
      </c>
      <c r="F52" s="5">
        <f t="shared" si="3"/>
        <v>39508</v>
      </c>
      <c r="G52">
        <f t="shared" si="0"/>
        <v>404598</v>
      </c>
      <c r="I52" s="5">
        <v>39508</v>
      </c>
      <c r="J52">
        <f t="shared" si="1"/>
        <v>375616.25</v>
      </c>
    </row>
    <row r="53" spans="2:10" x14ac:dyDescent="0.25">
      <c r="B53" s="5">
        <v>34425</v>
      </c>
      <c r="C53" s="6">
        <v>42333</v>
      </c>
      <c r="D53" s="6">
        <f t="shared" si="2"/>
        <v>125191</v>
      </c>
      <c r="E53" s="6">
        <f t="shared" si="4"/>
        <v>115139.75</v>
      </c>
      <c r="F53" s="5">
        <f t="shared" si="3"/>
        <v>39600</v>
      </c>
      <c r="G53">
        <f t="shared" si="0"/>
        <v>457169</v>
      </c>
      <c r="I53" s="5">
        <v>39600</v>
      </c>
      <c r="J53">
        <f t="shared" si="1"/>
        <v>405664.75</v>
      </c>
    </row>
    <row r="54" spans="2:10" x14ac:dyDescent="0.25">
      <c r="B54" s="5">
        <v>34455</v>
      </c>
      <c r="C54" s="6">
        <v>44223</v>
      </c>
      <c r="D54" s="6">
        <f t="shared" si="2"/>
        <v>130091</v>
      </c>
      <c r="E54" s="6">
        <f t="shared" si="4"/>
        <v>117175</v>
      </c>
      <c r="F54" s="5">
        <f t="shared" si="3"/>
        <v>39692</v>
      </c>
      <c r="G54">
        <f t="shared" si="0"/>
        <v>479466</v>
      </c>
      <c r="I54" s="5">
        <v>39692</v>
      </c>
      <c r="J54">
        <f t="shared" si="1"/>
        <v>435928.5</v>
      </c>
    </row>
    <row r="55" spans="2:10" x14ac:dyDescent="0.25">
      <c r="B55" s="5">
        <v>34486</v>
      </c>
      <c r="C55" s="6">
        <v>44936</v>
      </c>
      <c r="D55" s="6">
        <f t="shared" si="2"/>
        <v>131492</v>
      </c>
      <c r="E55" s="6">
        <f t="shared" si="4"/>
        <v>119373.25</v>
      </c>
      <c r="F55" s="5">
        <f t="shared" si="3"/>
        <v>39783</v>
      </c>
      <c r="G55">
        <f t="shared" si="0"/>
        <v>351914</v>
      </c>
      <c r="I55" s="5">
        <v>39783</v>
      </c>
      <c r="J55">
        <f t="shared" si="1"/>
        <v>423286.75</v>
      </c>
    </row>
    <row r="56" spans="2:10" x14ac:dyDescent="0.25">
      <c r="B56" s="5">
        <v>34516</v>
      </c>
      <c r="C56" s="6">
        <v>45478</v>
      </c>
      <c r="D56" s="6">
        <f t="shared" si="2"/>
        <v>134637</v>
      </c>
      <c r="E56" s="6">
        <f t="shared" si="4"/>
        <v>121421.75</v>
      </c>
      <c r="F56" s="5">
        <f t="shared" si="3"/>
        <v>39873</v>
      </c>
      <c r="G56">
        <f t="shared" si="0"/>
        <v>320254</v>
      </c>
      <c r="I56" s="5">
        <v>39873</v>
      </c>
      <c r="J56">
        <f t="shared" si="1"/>
        <v>402200.75</v>
      </c>
    </row>
    <row r="57" spans="2:10" x14ac:dyDescent="0.25">
      <c r="B57" s="5">
        <v>34547</v>
      </c>
      <c r="C57" s="6">
        <v>48555</v>
      </c>
      <c r="D57" s="6">
        <f t="shared" si="2"/>
        <v>138969</v>
      </c>
      <c r="E57" s="6">
        <f t="shared" si="4"/>
        <v>124088</v>
      </c>
      <c r="F57" s="5">
        <f>EDATE(F56,3)</f>
        <v>39965</v>
      </c>
      <c r="G57">
        <f t="shared" si="0"/>
        <v>380565</v>
      </c>
      <c r="I57" s="5">
        <v>39965</v>
      </c>
      <c r="J57">
        <f t="shared" si="1"/>
        <v>383049.75</v>
      </c>
    </row>
    <row r="58" spans="2:10" x14ac:dyDescent="0.25">
      <c r="B58" s="5">
        <v>34578</v>
      </c>
      <c r="C58" s="6">
        <v>48904</v>
      </c>
      <c r="D58" s="6">
        <f t="shared" si="2"/>
        <v>142937</v>
      </c>
      <c r="E58" s="6">
        <f t="shared" si="4"/>
        <v>126890.25</v>
      </c>
      <c r="F58" s="5">
        <f t="shared" si="3"/>
        <v>40057</v>
      </c>
      <c r="G58">
        <f t="shared" si="0"/>
        <v>449297</v>
      </c>
      <c r="I58" s="5">
        <v>40057</v>
      </c>
      <c r="J58">
        <f t="shared" si="1"/>
        <v>375507.5</v>
      </c>
    </row>
    <row r="59" spans="2:10" x14ac:dyDescent="0.25">
      <c r="B59" s="5">
        <v>34608</v>
      </c>
      <c r="C59" s="6">
        <v>49287</v>
      </c>
      <c r="D59" s="6">
        <f t="shared" si="2"/>
        <v>146746</v>
      </c>
      <c r="E59" s="6">
        <f t="shared" si="4"/>
        <v>129894</v>
      </c>
      <c r="F59" s="5">
        <f t="shared" si="3"/>
        <v>40148</v>
      </c>
      <c r="G59">
        <f t="shared" si="0"/>
        <v>522508</v>
      </c>
      <c r="I59" s="5">
        <v>40148</v>
      </c>
      <c r="J59">
        <f t="shared" si="1"/>
        <v>418156</v>
      </c>
    </row>
    <row r="60" spans="2:10" x14ac:dyDescent="0.25">
      <c r="B60" s="5">
        <v>34639</v>
      </c>
      <c r="C60" s="6">
        <v>49009</v>
      </c>
      <c r="D60" s="6">
        <f t="shared" si="2"/>
        <v>147200</v>
      </c>
      <c r="E60" s="6">
        <f t="shared" si="4"/>
        <v>132818</v>
      </c>
      <c r="F60" s="5">
        <f t="shared" si="3"/>
        <v>40238</v>
      </c>
      <c r="G60">
        <f t="shared" si="0"/>
        <v>488663</v>
      </c>
      <c r="I60" s="5">
        <v>40238</v>
      </c>
      <c r="J60">
        <f t="shared" si="1"/>
        <v>460258.25</v>
      </c>
    </row>
    <row r="61" spans="2:10" x14ac:dyDescent="0.25">
      <c r="B61" s="5">
        <v>34669</v>
      </c>
      <c r="C61" s="6">
        <v>47047</v>
      </c>
      <c r="D61" s="6">
        <f t="shared" si="2"/>
        <v>145343</v>
      </c>
      <c r="E61" s="6">
        <f t="shared" si="4"/>
        <v>135772</v>
      </c>
      <c r="F61" s="5">
        <f t="shared" si="3"/>
        <v>40330</v>
      </c>
      <c r="G61">
        <f t="shared" si="0"/>
        <v>525814</v>
      </c>
      <c r="I61" s="5">
        <v>40330</v>
      </c>
      <c r="J61">
        <f t="shared" si="1"/>
        <v>496570.5</v>
      </c>
    </row>
    <row r="62" spans="2:10" x14ac:dyDescent="0.25">
      <c r="B62" s="5">
        <v>34700</v>
      </c>
      <c r="C62" s="6">
        <v>60958</v>
      </c>
      <c r="D62" s="6">
        <f t="shared" si="2"/>
        <v>157014</v>
      </c>
      <c r="E62" s="6">
        <f t="shared" si="4"/>
        <v>140897</v>
      </c>
      <c r="F62" s="5">
        <f t="shared" si="3"/>
        <v>40422</v>
      </c>
      <c r="G62">
        <f t="shared" si="0"/>
        <v>571140</v>
      </c>
      <c r="I62" s="5">
        <v>40422</v>
      </c>
      <c r="J62">
        <f t="shared" si="1"/>
        <v>527031.25</v>
      </c>
    </row>
    <row r="63" spans="2:10" x14ac:dyDescent="0.25">
      <c r="B63" s="5">
        <v>34731</v>
      </c>
      <c r="C63" s="6">
        <v>59644</v>
      </c>
      <c r="D63" s="6">
        <f t="shared" si="2"/>
        <v>167649</v>
      </c>
      <c r="E63" s="6">
        <f t="shared" si="4"/>
        <v>145977.25</v>
      </c>
      <c r="F63" s="5">
        <f t="shared" si="3"/>
        <v>40513</v>
      </c>
      <c r="G63">
        <f t="shared" si="0"/>
        <v>624133</v>
      </c>
      <c r="I63" s="5">
        <v>40513</v>
      </c>
      <c r="J63">
        <f t="shared" si="1"/>
        <v>552437.5</v>
      </c>
    </row>
    <row r="64" spans="2:10" x14ac:dyDescent="0.25">
      <c r="B64" s="5">
        <v>34759</v>
      </c>
      <c r="C64" s="6">
        <v>65544</v>
      </c>
      <c r="D64" s="6">
        <f t="shared" si="2"/>
        <v>186146</v>
      </c>
      <c r="E64" s="6">
        <f t="shared" si="4"/>
        <v>151479.5</v>
      </c>
      <c r="F64" s="5">
        <f t="shared" si="3"/>
        <v>40603</v>
      </c>
      <c r="G64">
        <f t="shared" si="0"/>
        <v>609903</v>
      </c>
      <c r="I64" s="5">
        <v>40603</v>
      </c>
      <c r="J64">
        <f t="shared" si="1"/>
        <v>582747.5</v>
      </c>
    </row>
    <row r="65" spans="2:10" x14ac:dyDescent="0.25">
      <c r="B65" s="5">
        <v>34790</v>
      </c>
      <c r="C65" s="6">
        <v>63804</v>
      </c>
      <c r="D65" s="6">
        <f t="shared" si="2"/>
        <v>188992</v>
      </c>
      <c r="E65" s="6">
        <f t="shared" si="4"/>
        <v>156847.25</v>
      </c>
      <c r="F65" s="5">
        <f t="shared" si="3"/>
        <v>40695</v>
      </c>
      <c r="G65">
        <f t="shared" si="0"/>
        <v>680395</v>
      </c>
      <c r="I65" s="5">
        <v>40695</v>
      </c>
      <c r="J65">
        <f t="shared" si="1"/>
        <v>621392.75</v>
      </c>
    </row>
    <row r="66" spans="2:10" x14ac:dyDescent="0.25">
      <c r="B66" s="5">
        <v>34820</v>
      </c>
      <c r="C66" s="6">
        <v>63969</v>
      </c>
      <c r="D66" s="6">
        <f t="shared" si="2"/>
        <v>193317</v>
      </c>
      <c r="E66" s="6">
        <f t="shared" si="4"/>
        <v>161783.75</v>
      </c>
      <c r="F66" s="5">
        <f t="shared" si="3"/>
        <v>40787</v>
      </c>
      <c r="G66">
        <f t="shared" si="0"/>
        <v>680127</v>
      </c>
      <c r="I66" s="5">
        <v>40787</v>
      </c>
      <c r="J66">
        <f t="shared" si="1"/>
        <v>648639.5</v>
      </c>
    </row>
    <row r="67" spans="2:10" x14ac:dyDescent="0.25">
      <c r="B67" s="5">
        <v>34851</v>
      </c>
      <c r="C67" s="6">
        <v>64778</v>
      </c>
      <c r="D67" s="6">
        <f t="shared" si="2"/>
        <v>192551</v>
      </c>
      <c r="E67" s="6">
        <f t="shared" si="4"/>
        <v>166744.25</v>
      </c>
      <c r="F67" s="5">
        <f t="shared" si="3"/>
        <v>40878</v>
      </c>
      <c r="G67">
        <f t="shared" si="0"/>
        <v>644059</v>
      </c>
      <c r="I67" s="5">
        <v>40878</v>
      </c>
      <c r="J67">
        <f t="shared" si="1"/>
        <v>653621</v>
      </c>
    </row>
    <row r="68" spans="2:10" x14ac:dyDescent="0.25">
      <c r="B68" s="5">
        <v>34881</v>
      </c>
      <c r="C68" s="6">
        <v>65213</v>
      </c>
      <c r="D68" s="6">
        <f t="shared" si="2"/>
        <v>193960</v>
      </c>
      <c r="E68" s="6">
        <f t="shared" si="4"/>
        <v>171678</v>
      </c>
      <c r="F68" s="5">
        <f t="shared" si="3"/>
        <v>40969</v>
      </c>
      <c r="G68">
        <f t="shared" si="0"/>
        <v>638271</v>
      </c>
      <c r="I68" s="5">
        <v>40969</v>
      </c>
      <c r="J68">
        <f t="shared" si="1"/>
        <v>660713</v>
      </c>
    </row>
    <row r="69" spans="2:10" x14ac:dyDescent="0.25">
      <c r="B69" s="5">
        <v>34912</v>
      </c>
      <c r="C69" s="6">
        <v>66337</v>
      </c>
      <c r="D69" s="6">
        <f t="shared" si="2"/>
        <v>196328</v>
      </c>
      <c r="E69" s="6">
        <f t="shared" si="4"/>
        <v>176123.5</v>
      </c>
      <c r="F69" s="5">
        <f t="shared" si="3"/>
        <v>41061</v>
      </c>
      <c r="G69">
        <f t="shared" ref="G69:G125" si="5">VLOOKUP(F69,B68:D505,3,FALSE)</f>
        <v>602798</v>
      </c>
      <c r="I69" s="5">
        <v>41061</v>
      </c>
      <c r="J69">
        <f t="shared" ref="J69:J125" si="6">VLOOKUP(I69,B68:E505,4,FALSE)</f>
        <v>641313.75</v>
      </c>
    </row>
    <row r="70" spans="2:10" x14ac:dyDescent="0.25">
      <c r="B70" s="5">
        <v>34943</v>
      </c>
      <c r="C70" s="6">
        <v>66232</v>
      </c>
      <c r="D70" s="6">
        <f t="shared" ref="D70:D133" si="7">SUM(C68:C70)</f>
        <v>197782</v>
      </c>
      <c r="E70" s="6">
        <f t="shared" si="4"/>
        <v>180455.5</v>
      </c>
      <c r="F70" s="5">
        <f t="shared" ref="F70:F125" si="8">EDATE(F69,3)</f>
        <v>41153</v>
      </c>
      <c r="G70">
        <f t="shared" si="5"/>
        <v>605760</v>
      </c>
      <c r="I70" s="5">
        <v>41153</v>
      </c>
      <c r="J70">
        <f t="shared" si="6"/>
        <v>622722</v>
      </c>
    </row>
    <row r="71" spans="2:10" x14ac:dyDescent="0.25">
      <c r="B71" s="5">
        <v>34973</v>
      </c>
      <c r="C71" s="6">
        <v>65997</v>
      </c>
      <c r="D71" s="6">
        <f t="shared" si="7"/>
        <v>198566</v>
      </c>
      <c r="E71" s="6">
        <f t="shared" si="4"/>
        <v>184633</v>
      </c>
      <c r="F71" s="5">
        <f t="shared" si="8"/>
        <v>41244</v>
      </c>
      <c r="G71">
        <f t="shared" si="5"/>
        <v>616719</v>
      </c>
      <c r="I71" s="5">
        <v>41244</v>
      </c>
      <c r="J71">
        <f t="shared" si="6"/>
        <v>615887</v>
      </c>
    </row>
    <row r="72" spans="2:10" x14ac:dyDescent="0.25">
      <c r="B72" s="5">
        <v>35004</v>
      </c>
      <c r="C72" s="6">
        <v>66320</v>
      </c>
      <c r="D72" s="6">
        <f t="shared" si="7"/>
        <v>198549</v>
      </c>
      <c r="E72" s="6">
        <f t="shared" si="4"/>
        <v>188960.75</v>
      </c>
      <c r="F72" s="5">
        <f t="shared" si="8"/>
        <v>41334</v>
      </c>
      <c r="G72">
        <f t="shared" si="5"/>
        <v>620346</v>
      </c>
      <c r="I72" s="5">
        <v>41334</v>
      </c>
      <c r="J72">
        <f t="shared" si="6"/>
        <v>611405.75</v>
      </c>
    </row>
    <row r="73" spans="2:10" x14ac:dyDescent="0.25">
      <c r="B73" s="5">
        <v>35034</v>
      </c>
      <c r="C73" s="6">
        <v>61939</v>
      </c>
      <c r="D73" s="6">
        <f t="shared" si="7"/>
        <v>194256</v>
      </c>
      <c r="E73" s="6">
        <f t="shared" si="4"/>
        <v>192683.75</v>
      </c>
      <c r="F73" s="5">
        <f t="shared" si="8"/>
        <v>41426</v>
      </c>
      <c r="G73">
        <f t="shared" si="5"/>
        <v>637728</v>
      </c>
      <c r="I73" s="5">
        <v>41426</v>
      </c>
      <c r="J73">
        <f t="shared" si="6"/>
        <v>620138.25</v>
      </c>
    </row>
    <row r="74" spans="2:10" x14ac:dyDescent="0.25">
      <c r="B74" s="5">
        <v>35065</v>
      </c>
      <c r="C74" s="6">
        <v>64694</v>
      </c>
      <c r="D74" s="6">
        <f t="shared" si="7"/>
        <v>192953</v>
      </c>
      <c r="E74" s="6">
        <f t="shared" si="4"/>
        <v>193617.75</v>
      </c>
      <c r="F74" s="5">
        <f t="shared" si="8"/>
        <v>41518</v>
      </c>
      <c r="G74">
        <f t="shared" si="5"/>
        <v>590078</v>
      </c>
      <c r="I74" s="5">
        <v>41518</v>
      </c>
      <c r="J74">
        <f t="shared" si="6"/>
        <v>616217.75</v>
      </c>
    </row>
    <row r="75" spans="2:10" x14ac:dyDescent="0.25">
      <c r="B75" s="5">
        <v>35096</v>
      </c>
      <c r="C75" s="6">
        <v>65289</v>
      </c>
      <c r="D75" s="6">
        <f t="shared" si="7"/>
        <v>191922</v>
      </c>
      <c r="E75" s="6">
        <f t="shared" si="4"/>
        <v>195029</v>
      </c>
      <c r="F75" s="5">
        <f t="shared" si="8"/>
        <v>41609</v>
      </c>
      <c r="G75">
        <f t="shared" si="5"/>
        <v>620305</v>
      </c>
      <c r="I75" s="5">
        <v>41609</v>
      </c>
      <c r="J75">
        <f t="shared" si="6"/>
        <v>617114.25</v>
      </c>
    </row>
    <row r="76" spans="2:10" x14ac:dyDescent="0.25">
      <c r="B76" s="5">
        <v>35125</v>
      </c>
      <c r="C76" s="6">
        <v>69253</v>
      </c>
      <c r="D76" s="6">
        <f t="shared" si="7"/>
        <v>199236</v>
      </c>
      <c r="E76" s="6">
        <f t="shared" si="4"/>
        <v>195956.25</v>
      </c>
      <c r="F76" s="5">
        <f t="shared" si="8"/>
        <v>41699</v>
      </c>
      <c r="G76">
        <f t="shared" si="5"/>
        <v>586384</v>
      </c>
      <c r="I76" s="5">
        <v>41699</v>
      </c>
      <c r="J76">
        <f t="shared" si="6"/>
        <v>608623.75</v>
      </c>
    </row>
    <row r="77" spans="2:10" x14ac:dyDescent="0.25">
      <c r="B77" s="5">
        <v>35156</v>
      </c>
      <c r="C77" s="6">
        <v>68013</v>
      </c>
      <c r="D77" s="6">
        <f t="shared" si="7"/>
        <v>202555</v>
      </c>
      <c r="E77" s="6">
        <f t="shared" si="4"/>
        <v>197008.5</v>
      </c>
      <c r="F77" s="5">
        <f t="shared" si="8"/>
        <v>41791</v>
      </c>
      <c r="G77">
        <f t="shared" si="5"/>
        <v>637785</v>
      </c>
      <c r="I77" s="5">
        <v>41791</v>
      </c>
      <c r="J77">
        <f t="shared" si="6"/>
        <v>608638</v>
      </c>
    </row>
    <row r="78" spans="2:10" x14ac:dyDescent="0.25">
      <c r="B78" s="5">
        <v>35186</v>
      </c>
      <c r="C78" s="6">
        <v>70510</v>
      </c>
      <c r="D78" s="6">
        <f t="shared" si="7"/>
        <v>207776</v>
      </c>
      <c r="E78" s="6">
        <f t="shared" ref="E78:E141" si="9">SUM(C67:C78)/4</f>
        <v>198643.75</v>
      </c>
      <c r="F78" s="5">
        <f t="shared" si="8"/>
        <v>41883</v>
      </c>
      <c r="G78">
        <f t="shared" si="5"/>
        <v>641306</v>
      </c>
      <c r="I78" s="5">
        <v>41883</v>
      </c>
      <c r="J78">
        <f t="shared" si="6"/>
        <v>621445</v>
      </c>
    </row>
    <row r="79" spans="2:10" x14ac:dyDescent="0.25">
      <c r="B79" s="5">
        <v>35217</v>
      </c>
      <c r="C79" s="6">
        <v>69222</v>
      </c>
      <c r="D79" s="6">
        <f t="shared" si="7"/>
        <v>207745</v>
      </c>
      <c r="E79" s="6">
        <f t="shared" si="9"/>
        <v>199754.75</v>
      </c>
      <c r="F79" s="5">
        <f t="shared" si="8"/>
        <v>41974</v>
      </c>
      <c r="G79">
        <f t="shared" si="5"/>
        <v>589370</v>
      </c>
      <c r="I79" s="5">
        <v>41974</v>
      </c>
      <c r="J79">
        <f t="shared" si="6"/>
        <v>613711.25</v>
      </c>
    </row>
    <row r="80" spans="2:10" x14ac:dyDescent="0.25">
      <c r="B80" s="5">
        <v>35247</v>
      </c>
      <c r="C80" s="6">
        <v>74083</v>
      </c>
      <c r="D80" s="6">
        <f t="shared" si="7"/>
        <v>213815</v>
      </c>
      <c r="E80" s="6">
        <f t="shared" si="9"/>
        <v>201972.25</v>
      </c>
      <c r="F80" s="5">
        <f t="shared" si="8"/>
        <v>42064</v>
      </c>
      <c r="G80">
        <f t="shared" si="5"/>
        <v>503694</v>
      </c>
      <c r="I80" s="5">
        <v>42064</v>
      </c>
      <c r="J80">
        <f t="shared" si="6"/>
        <v>593038.75</v>
      </c>
    </row>
    <row r="81" spans="2:10" x14ac:dyDescent="0.25">
      <c r="B81" s="5">
        <v>35278</v>
      </c>
      <c r="C81" s="6">
        <v>75794</v>
      </c>
      <c r="D81" s="6">
        <f t="shared" si="7"/>
        <v>219099</v>
      </c>
      <c r="E81" s="6">
        <f t="shared" si="9"/>
        <v>204336.5</v>
      </c>
      <c r="F81" s="5">
        <f t="shared" si="8"/>
        <v>42156</v>
      </c>
      <c r="G81">
        <f t="shared" si="5"/>
        <v>474100</v>
      </c>
      <c r="I81" s="5">
        <v>42156</v>
      </c>
      <c r="J81">
        <f t="shared" si="6"/>
        <v>552117.5</v>
      </c>
    </row>
    <row r="82" spans="2:10" x14ac:dyDescent="0.25">
      <c r="B82" s="5">
        <v>35309</v>
      </c>
      <c r="C82" s="6">
        <v>74592</v>
      </c>
      <c r="D82" s="6">
        <f t="shared" si="7"/>
        <v>224469</v>
      </c>
      <c r="E82" s="6">
        <f t="shared" si="9"/>
        <v>206426.5</v>
      </c>
      <c r="F82" s="5">
        <f t="shared" si="8"/>
        <v>42248</v>
      </c>
      <c r="G82">
        <f t="shared" si="5"/>
        <v>420761</v>
      </c>
      <c r="I82" s="5">
        <v>42248</v>
      </c>
      <c r="J82">
        <f t="shared" si="6"/>
        <v>496981.25</v>
      </c>
    </row>
    <row r="83" spans="2:10" x14ac:dyDescent="0.25">
      <c r="B83" s="5">
        <v>35339</v>
      </c>
      <c r="C83" s="6">
        <v>75498</v>
      </c>
      <c r="D83" s="6">
        <f t="shared" si="7"/>
        <v>225884</v>
      </c>
      <c r="E83" s="6">
        <f t="shared" si="9"/>
        <v>208801.75</v>
      </c>
      <c r="F83" s="5">
        <f t="shared" si="8"/>
        <v>42339</v>
      </c>
      <c r="G83">
        <f t="shared" si="5"/>
        <v>397613</v>
      </c>
      <c r="I83" s="5">
        <v>42339</v>
      </c>
      <c r="J83">
        <f t="shared" si="6"/>
        <v>449042</v>
      </c>
    </row>
    <row r="84" spans="2:10" x14ac:dyDescent="0.25">
      <c r="B84" s="5">
        <v>35370</v>
      </c>
      <c r="C84" s="6">
        <v>73958</v>
      </c>
      <c r="D84" s="6">
        <f t="shared" si="7"/>
        <v>224048</v>
      </c>
      <c r="E84" s="6">
        <f t="shared" si="9"/>
        <v>210711.25</v>
      </c>
      <c r="F84" s="5">
        <f t="shared" si="8"/>
        <v>42430</v>
      </c>
      <c r="G84">
        <f t="shared" si="5"/>
        <v>380545</v>
      </c>
      <c r="I84" s="5">
        <v>42430</v>
      </c>
      <c r="J84">
        <f t="shared" si="6"/>
        <v>418254.75</v>
      </c>
    </row>
    <row r="85" spans="2:10" x14ac:dyDescent="0.25">
      <c r="B85" s="5">
        <v>35400</v>
      </c>
      <c r="C85" s="6">
        <v>70112</v>
      </c>
      <c r="D85" s="6">
        <f t="shared" si="7"/>
        <v>219568</v>
      </c>
      <c r="E85" s="6">
        <f t="shared" si="9"/>
        <v>212754.5</v>
      </c>
      <c r="F85" s="5">
        <f t="shared" si="8"/>
        <v>42522</v>
      </c>
      <c r="G85">
        <f t="shared" si="5"/>
        <v>440955</v>
      </c>
      <c r="I85" s="5">
        <v>42522</v>
      </c>
      <c r="J85">
        <f t="shared" si="6"/>
        <v>409968.5</v>
      </c>
    </row>
    <row r="86" spans="2:10" x14ac:dyDescent="0.25">
      <c r="B86" s="5">
        <v>35431</v>
      </c>
      <c r="C86" s="6">
        <v>69104</v>
      </c>
      <c r="D86" s="6">
        <f t="shared" si="7"/>
        <v>213174</v>
      </c>
      <c r="E86" s="6">
        <f t="shared" si="9"/>
        <v>213857</v>
      </c>
      <c r="F86" s="5">
        <f t="shared" si="8"/>
        <v>42614</v>
      </c>
      <c r="G86">
        <f t="shared" si="5"/>
        <v>483582</v>
      </c>
      <c r="I86" s="5">
        <v>42614</v>
      </c>
      <c r="J86">
        <f t="shared" si="6"/>
        <v>425673.75</v>
      </c>
    </row>
    <row r="87" spans="2:10" x14ac:dyDescent="0.25">
      <c r="B87" s="5">
        <v>35462</v>
      </c>
      <c r="C87" s="6">
        <v>67725</v>
      </c>
      <c r="D87" s="6">
        <f t="shared" si="7"/>
        <v>206941</v>
      </c>
      <c r="E87" s="6">
        <f t="shared" si="9"/>
        <v>214466</v>
      </c>
      <c r="F87" s="5">
        <f t="shared" si="8"/>
        <v>42705</v>
      </c>
      <c r="G87">
        <f t="shared" si="5"/>
        <v>495050</v>
      </c>
      <c r="I87" s="5">
        <v>42705</v>
      </c>
      <c r="J87">
        <f t="shared" si="6"/>
        <v>450033</v>
      </c>
    </row>
    <row r="88" spans="2:10" x14ac:dyDescent="0.25">
      <c r="B88" s="5">
        <v>35490</v>
      </c>
      <c r="C88" s="6">
        <v>71214</v>
      </c>
      <c r="D88" s="6">
        <f t="shared" si="7"/>
        <v>208043</v>
      </c>
      <c r="E88" s="6">
        <f t="shared" si="9"/>
        <v>214956.25</v>
      </c>
      <c r="F88" s="5">
        <f t="shared" si="8"/>
        <v>42795</v>
      </c>
      <c r="G88">
        <f t="shared" si="5"/>
        <v>504749</v>
      </c>
      <c r="I88" s="5">
        <v>42795</v>
      </c>
      <c r="J88">
        <f t="shared" si="6"/>
        <v>481084</v>
      </c>
    </row>
    <row r="89" spans="2:10" x14ac:dyDescent="0.25">
      <c r="B89" s="5">
        <v>35521</v>
      </c>
      <c r="C89" s="6">
        <v>71602</v>
      </c>
      <c r="D89" s="6">
        <f t="shared" si="7"/>
        <v>210541</v>
      </c>
      <c r="E89" s="6">
        <f t="shared" si="9"/>
        <v>215853.5</v>
      </c>
      <c r="F89" s="5">
        <f t="shared" si="8"/>
        <v>42887</v>
      </c>
      <c r="G89">
        <f t="shared" si="5"/>
        <v>508087</v>
      </c>
      <c r="I89" s="5">
        <v>42887</v>
      </c>
      <c r="J89">
        <f t="shared" si="6"/>
        <v>497867</v>
      </c>
    </row>
    <row r="90" spans="2:10" x14ac:dyDescent="0.25">
      <c r="B90" s="5">
        <v>35551</v>
      </c>
      <c r="C90" s="6">
        <v>73359</v>
      </c>
      <c r="D90" s="6">
        <f t="shared" si="7"/>
        <v>216175</v>
      </c>
      <c r="E90" s="6">
        <f t="shared" si="9"/>
        <v>216565.75</v>
      </c>
      <c r="F90" s="5">
        <f t="shared" si="8"/>
        <v>42979</v>
      </c>
      <c r="G90">
        <f t="shared" si="5"/>
        <v>521326</v>
      </c>
      <c r="I90" s="5">
        <v>42979</v>
      </c>
      <c r="J90">
        <f t="shared" si="6"/>
        <v>507303</v>
      </c>
    </row>
    <row r="91" spans="2:10" x14ac:dyDescent="0.25">
      <c r="B91" s="5">
        <v>35582</v>
      </c>
      <c r="C91" s="6">
        <v>73444</v>
      </c>
      <c r="D91" s="6">
        <f t="shared" si="7"/>
        <v>218405</v>
      </c>
      <c r="E91" s="6">
        <f t="shared" si="9"/>
        <v>217621.25</v>
      </c>
      <c r="F91" s="5">
        <f t="shared" si="8"/>
        <v>43070</v>
      </c>
      <c r="G91">
        <f t="shared" si="5"/>
        <v>529022</v>
      </c>
      <c r="I91" s="5">
        <v>43070</v>
      </c>
      <c r="J91">
        <f t="shared" si="6"/>
        <v>515796</v>
      </c>
    </row>
    <row r="92" spans="2:10" x14ac:dyDescent="0.25">
      <c r="B92" s="5">
        <v>35612</v>
      </c>
      <c r="C92" s="6">
        <v>75273</v>
      </c>
      <c r="D92" s="6">
        <f t="shared" si="7"/>
        <v>222076</v>
      </c>
      <c r="E92" s="6">
        <f t="shared" si="9"/>
        <v>217918.75</v>
      </c>
      <c r="F92" s="5">
        <f t="shared" si="8"/>
        <v>43160</v>
      </c>
      <c r="G92">
        <f t="shared" si="5"/>
        <v>516233</v>
      </c>
      <c r="I92" s="5">
        <v>43160</v>
      </c>
      <c r="J92">
        <f t="shared" si="6"/>
        <v>518667</v>
      </c>
    </row>
    <row r="93" spans="2:10" x14ac:dyDescent="0.25">
      <c r="B93" s="5">
        <v>35643</v>
      </c>
      <c r="C93" s="6">
        <v>76606</v>
      </c>
      <c r="D93" s="6">
        <f t="shared" si="7"/>
        <v>225323</v>
      </c>
      <c r="E93" s="6">
        <f t="shared" si="9"/>
        <v>218121.75</v>
      </c>
      <c r="F93" s="5">
        <f t="shared" si="8"/>
        <v>43252</v>
      </c>
      <c r="G93">
        <f t="shared" si="5"/>
        <v>479121</v>
      </c>
      <c r="I93" s="5">
        <v>43252</v>
      </c>
      <c r="J93">
        <f t="shared" si="6"/>
        <v>511425.5</v>
      </c>
    </row>
    <row r="94" spans="2:10" x14ac:dyDescent="0.25">
      <c r="B94" s="5">
        <v>35674</v>
      </c>
      <c r="C94" s="6">
        <v>77267</v>
      </c>
      <c r="D94" s="6">
        <f t="shared" si="7"/>
        <v>229146</v>
      </c>
      <c r="E94" s="6">
        <f t="shared" si="9"/>
        <v>218790.5</v>
      </c>
      <c r="F94" s="5">
        <f t="shared" si="8"/>
        <v>43344</v>
      </c>
      <c r="G94">
        <f t="shared" si="5"/>
        <v>444718</v>
      </c>
      <c r="I94" s="5">
        <v>43344</v>
      </c>
      <c r="J94">
        <f t="shared" si="6"/>
        <v>492273.5</v>
      </c>
    </row>
    <row r="95" spans="2:10" x14ac:dyDescent="0.25">
      <c r="B95" s="5">
        <v>35704</v>
      </c>
      <c r="C95" s="6">
        <v>80426</v>
      </c>
      <c r="D95" s="6">
        <f t="shared" si="7"/>
        <v>234299</v>
      </c>
      <c r="E95" s="6">
        <f t="shared" si="9"/>
        <v>220022.5</v>
      </c>
      <c r="F95" s="5">
        <f t="shared" si="8"/>
        <v>43435</v>
      </c>
      <c r="G95">
        <f t="shared" si="5"/>
        <v>476141</v>
      </c>
      <c r="I95" s="5">
        <v>43435</v>
      </c>
      <c r="J95">
        <f t="shared" si="6"/>
        <v>479053.25</v>
      </c>
    </row>
    <row r="96" spans="2:10" x14ac:dyDescent="0.25">
      <c r="B96" s="5">
        <v>35735</v>
      </c>
      <c r="C96" s="6">
        <v>76483</v>
      </c>
      <c r="D96" s="6">
        <f t="shared" si="7"/>
        <v>234176</v>
      </c>
      <c r="E96" s="6">
        <f t="shared" si="9"/>
        <v>220653.75</v>
      </c>
      <c r="F96" s="5">
        <f t="shared" si="8"/>
        <v>43525</v>
      </c>
      <c r="G96">
        <f t="shared" si="5"/>
        <v>465829</v>
      </c>
      <c r="I96" s="5">
        <v>43525</v>
      </c>
      <c r="J96">
        <f t="shared" si="6"/>
        <v>466452.25</v>
      </c>
    </row>
    <row r="97" spans="2:10" x14ac:dyDescent="0.25">
      <c r="B97" s="5">
        <v>35765</v>
      </c>
      <c r="C97" s="6">
        <v>70778</v>
      </c>
      <c r="D97" s="6">
        <f t="shared" si="7"/>
        <v>227687</v>
      </c>
      <c r="E97" s="6">
        <f t="shared" si="9"/>
        <v>220820.25</v>
      </c>
      <c r="F97" s="5">
        <f t="shared" si="8"/>
        <v>43617</v>
      </c>
      <c r="G97">
        <f t="shared" si="5"/>
        <v>466606</v>
      </c>
      <c r="I97" s="5">
        <v>43617</v>
      </c>
      <c r="J97">
        <f t="shared" si="6"/>
        <v>463323.5</v>
      </c>
    </row>
    <row r="98" spans="2:10" x14ac:dyDescent="0.25">
      <c r="B98" s="5">
        <v>35796</v>
      </c>
      <c r="C98" s="6">
        <v>67416</v>
      </c>
      <c r="D98" s="6">
        <f t="shared" si="7"/>
        <v>214677</v>
      </c>
      <c r="E98" s="6">
        <f t="shared" si="9"/>
        <v>220398.25</v>
      </c>
      <c r="F98" s="5">
        <f t="shared" si="8"/>
        <v>43709</v>
      </c>
      <c r="G98">
        <f t="shared" si="5"/>
        <v>474172</v>
      </c>
      <c r="I98" s="5">
        <v>43709</v>
      </c>
      <c r="J98">
        <f t="shared" si="6"/>
        <v>470687</v>
      </c>
    </row>
    <row r="99" spans="2:10" x14ac:dyDescent="0.25">
      <c r="B99" s="5">
        <v>35827</v>
      </c>
      <c r="C99" s="6">
        <v>65887</v>
      </c>
      <c r="D99" s="6">
        <f t="shared" si="7"/>
        <v>204081</v>
      </c>
      <c r="E99" s="6">
        <f t="shared" si="9"/>
        <v>219938.75</v>
      </c>
      <c r="F99" s="5">
        <f t="shared" si="8"/>
        <v>43800</v>
      </c>
      <c r="G99">
        <f t="shared" si="5"/>
        <v>466193</v>
      </c>
      <c r="I99" s="5">
        <v>43800</v>
      </c>
      <c r="J99">
        <f t="shared" si="6"/>
        <v>468200</v>
      </c>
    </row>
    <row r="100" spans="2:10" x14ac:dyDescent="0.25">
      <c r="B100" s="5">
        <v>35855</v>
      </c>
      <c r="C100" s="6">
        <v>71405</v>
      </c>
      <c r="D100" s="6">
        <f t="shared" si="7"/>
        <v>204708</v>
      </c>
      <c r="E100" s="6">
        <f t="shared" si="9"/>
        <v>219986.5</v>
      </c>
      <c r="F100" s="5">
        <f t="shared" si="8"/>
        <v>43891</v>
      </c>
      <c r="G100">
        <f t="shared" si="5"/>
        <v>417777</v>
      </c>
      <c r="I100" s="5">
        <v>43891</v>
      </c>
      <c r="J100">
        <f t="shared" si="6"/>
        <v>456187</v>
      </c>
    </row>
    <row r="101" spans="2:10" x14ac:dyDescent="0.25">
      <c r="B101" s="5">
        <v>35886</v>
      </c>
      <c r="C101" s="6">
        <v>70920</v>
      </c>
      <c r="D101" s="6">
        <f t="shared" si="7"/>
        <v>208212</v>
      </c>
      <c r="E101" s="6">
        <f t="shared" si="9"/>
        <v>219816</v>
      </c>
      <c r="F101" s="5">
        <f t="shared" si="8"/>
        <v>43983</v>
      </c>
      <c r="G101">
        <f t="shared" si="5"/>
        <v>322857</v>
      </c>
      <c r="I101" s="5">
        <v>43983</v>
      </c>
      <c r="J101">
        <f t="shared" si="6"/>
        <v>420249.75</v>
      </c>
    </row>
    <row r="102" spans="2:10" x14ac:dyDescent="0.25">
      <c r="B102" s="5">
        <v>35916</v>
      </c>
      <c r="C102" s="6">
        <v>73174</v>
      </c>
      <c r="D102" s="6">
        <f t="shared" si="7"/>
        <v>215499</v>
      </c>
      <c r="E102" s="6">
        <f t="shared" si="9"/>
        <v>219769.75</v>
      </c>
      <c r="F102" s="5">
        <f t="shared" si="8"/>
        <v>44075</v>
      </c>
      <c r="G102">
        <f t="shared" si="5"/>
        <v>355298</v>
      </c>
      <c r="I102" s="5">
        <v>44075</v>
      </c>
      <c r="J102">
        <f t="shared" si="6"/>
        <v>390531.25</v>
      </c>
    </row>
    <row r="103" spans="2:10" x14ac:dyDescent="0.25">
      <c r="B103" s="5">
        <v>35947</v>
      </c>
      <c r="C103" s="6">
        <v>72093</v>
      </c>
      <c r="D103" s="6">
        <f t="shared" si="7"/>
        <v>216187</v>
      </c>
      <c r="E103" s="6">
        <f t="shared" si="9"/>
        <v>219432</v>
      </c>
      <c r="F103" s="5">
        <f t="shared" si="8"/>
        <v>44166</v>
      </c>
      <c r="G103">
        <f t="shared" si="5"/>
        <v>379596</v>
      </c>
      <c r="I103" s="5">
        <v>44166</v>
      </c>
      <c r="J103">
        <f t="shared" si="6"/>
        <v>368882</v>
      </c>
    </row>
    <row r="104" spans="2:10" x14ac:dyDescent="0.25">
      <c r="B104" s="5">
        <v>35977</v>
      </c>
      <c r="C104" s="6">
        <v>74549</v>
      </c>
      <c r="D104" s="6">
        <f t="shared" si="7"/>
        <v>219816</v>
      </c>
      <c r="E104" s="6">
        <f t="shared" si="9"/>
        <v>219251</v>
      </c>
      <c r="F104" s="5">
        <f t="shared" si="8"/>
        <v>44256</v>
      </c>
      <c r="G104">
        <f t="shared" si="5"/>
        <v>392366</v>
      </c>
      <c r="I104" s="5">
        <v>44256</v>
      </c>
      <c r="J104">
        <f t="shared" si="6"/>
        <v>362529.25</v>
      </c>
    </row>
    <row r="105" spans="2:10" x14ac:dyDescent="0.25">
      <c r="B105" s="5">
        <v>36008</v>
      </c>
      <c r="C105" s="6">
        <v>75122</v>
      </c>
      <c r="D105" s="6">
        <f t="shared" si="7"/>
        <v>221764</v>
      </c>
      <c r="E105" s="6">
        <f t="shared" si="9"/>
        <v>218880</v>
      </c>
      <c r="F105" s="5">
        <f t="shared" si="8"/>
        <v>44348</v>
      </c>
      <c r="G105">
        <f t="shared" si="5"/>
        <v>416534</v>
      </c>
      <c r="I105" s="5">
        <v>44348</v>
      </c>
      <c r="J105">
        <f t="shared" si="6"/>
        <v>385948.5</v>
      </c>
    </row>
    <row r="106" spans="2:10" x14ac:dyDescent="0.25">
      <c r="B106" s="5">
        <v>36039</v>
      </c>
      <c r="C106" s="6">
        <v>74594</v>
      </c>
      <c r="D106" s="6">
        <f t="shared" si="7"/>
        <v>224265</v>
      </c>
      <c r="E106" s="6">
        <f t="shared" si="9"/>
        <v>218211.75</v>
      </c>
      <c r="F106" s="5">
        <f t="shared" si="8"/>
        <v>44440</v>
      </c>
      <c r="G106">
        <f t="shared" si="5"/>
        <v>439376</v>
      </c>
      <c r="I106" s="5">
        <v>44440</v>
      </c>
      <c r="J106">
        <f t="shared" si="6"/>
        <v>406968</v>
      </c>
    </row>
    <row r="107" spans="2:10" x14ac:dyDescent="0.25">
      <c r="B107" s="5">
        <v>36069</v>
      </c>
      <c r="C107" s="6">
        <v>75723</v>
      </c>
      <c r="D107" s="6">
        <f t="shared" si="7"/>
        <v>225439</v>
      </c>
      <c r="E107" s="6">
        <f t="shared" si="9"/>
        <v>217036</v>
      </c>
      <c r="F107" s="5">
        <f t="shared" si="8"/>
        <v>44531</v>
      </c>
      <c r="G107">
        <f t="shared" si="5"/>
        <v>422218</v>
      </c>
      <c r="I107" s="5">
        <v>44531</v>
      </c>
      <c r="J107">
        <f t="shared" si="6"/>
        <v>417623.5</v>
      </c>
    </row>
    <row r="108" spans="2:10" x14ac:dyDescent="0.25">
      <c r="B108" s="5">
        <v>36100</v>
      </c>
      <c r="C108" s="6">
        <v>73784</v>
      </c>
      <c r="D108" s="6">
        <f t="shared" si="7"/>
        <v>224101</v>
      </c>
      <c r="E108" s="6">
        <f t="shared" si="9"/>
        <v>216361.25</v>
      </c>
      <c r="F108" s="5">
        <f t="shared" si="8"/>
        <v>44621</v>
      </c>
      <c r="G108">
        <f t="shared" si="5"/>
        <v>444901</v>
      </c>
      <c r="I108" s="5">
        <v>44621</v>
      </c>
      <c r="J108">
        <f t="shared" si="6"/>
        <v>430757.25</v>
      </c>
    </row>
    <row r="109" spans="2:10" x14ac:dyDescent="0.25">
      <c r="B109" s="5">
        <v>36130</v>
      </c>
      <c r="C109" s="6">
        <v>69205</v>
      </c>
      <c r="D109" s="6">
        <f t="shared" si="7"/>
        <v>218712</v>
      </c>
      <c r="E109" s="6">
        <f t="shared" si="9"/>
        <v>215968</v>
      </c>
      <c r="F109" s="5">
        <f t="shared" si="8"/>
        <v>44713</v>
      </c>
      <c r="G109">
        <f t="shared" si="5"/>
        <v>510818</v>
      </c>
      <c r="I109" s="5">
        <v>44713</v>
      </c>
      <c r="J109">
        <f t="shared" si="6"/>
        <v>454328.25</v>
      </c>
    </row>
    <row r="110" spans="2:10" x14ac:dyDescent="0.25">
      <c r="B110" s="5">
        <v>36161</v>
      </c>
      <c r="C110" s="6">
        <v>46251</v>
      </c>
      <c r="D110" s="6">
        <f t="shared" si="7"/>
        <v>189240</v>
      </c>
      <c r="E110" s="6">
        <f t="shared" si="9"/>
        <v>210676.75</v>
      </c>
      <c r="F110" s="5">
        <f t="shared" si="8"/>
        <v>44805</v>
      </c>
      <c r="G110">
        <f t="shared" si="5"/>
        <v>494441</v>
      </c>
      <c r="I110" s="5">
        <v>44805</v>
      </c>
      <c r="J110">
        <f t="shared" si="6"/>
        <v>468094.5</v>
      </c>
    </row>
    <row r="111" spans="2:10" x14ac:dyDescent="0.25">
      <c r="B111" s="5">
        <v>36192</v>
      </c>
      <c r="C111" s="6">
        <v>45384</v>
      </c>
      <c r="D111" s="6">
        <f t="shared" si="7"/>
        <v>160840</v>
      </c>
      <c r="E111" s="6">
        <f t="shared" si="9"/>
        <v>205551</v>
      </c>
      <c r="F111" s="5">
        <f t="shared" si="8"/>
        <v>44896</v>
      </c>
      <c r="G111">
        <f t="shared" si="5"/>
        <v>501414</v>
      </c>
      <c r="I111" s="5">
        <v>44896</v>
      </c>
      <c r="J111">
        <f t="shared" si="6"/>
        <v>487893.5</v>
      </c>
    </row>
    <row r="112" spans="2:10" x14ac:dyDescent="0.25">
      <c r="B112" s="5">
        <v>36220</v>
      </c>
      <c r="C112" s="6">
        <v>50079</v>
      </c>
      <c r="D112" s="6">
        <f t="shared" si="7"/>
        <v>141714</v>
      </c>
      <c r="E112" s="6">
        <f t="shared" si="9"/>
        <v>200219.5</v>
      </c>
      <c r="F112" s="5">
        <f t="shared" si="8"/>
        <v>44986</v>
      </c>
      <c r="G112">
        <f t="shared" si="5"/>
        <v>495980</v>
      </c>
      <c r="I112" s="5">
        <v>44986</v>
      </c>
      <c r="J112">
        <f t="shared" si="6"/>
        <v>500663.25</v>
      </c>
    </row>
    <row r="113" spans="2:10" x14ac:dyDescent="0.25">
      <c r="B113" s="5">
        <v>36251</v>
      </c>
      <c r="C113" s="6">
        <v>49165</v>
      </c>
      <c r="D113" s="6">
        <f t="shared" si="7"/>
        <v>144628</v>
      </c>
      <c r="E113" s="6">
        <f t="shared" si="9"/>
        <v>194780.75</v>
      </c>
      <c r="F113" s="5">
        <f t="shared" si="8"/>
        <v>45078</v>
      </c>
      <c r="G113">
        <f t="shared" si="5"/>
        <v>550310</v>
      </c>
      <c r="I113" s="5">
        <v>45078</v>
      </c>
      <c r="J113">
        <f t="shared" si="6"/>
        <v>510536.25</v>
      </c>
    </row>
    <row r="114" spans="2:10" x14ac:dyDescent="0.25">
      <c r="B114" s="5">
        <v>36281</v>
      </c>
      <c r="C114" s="6">
        <v>49563</v>
      </c>
      <c r="D114" s="6">
        <f t="shared" si="7"/>
        <v>148807</v>
      </c>
      <c r="E114" s="6">
        <f t="shared" si="9"/>
        <v>188878</v>
      </c>
      <c r="F114" s="5">
        <f t="shared" si="8"/>
        <v>45170</v>
      </c>
      <c r="G114">
        <f t="shared" si="5"/>
        <v>566912</v>
      </c>
      <c r="I114" s="5">
        <v>45170</v>
      </c>
      <c r="J114">
        <f t="shared" si="6"/>
        <v>528654</v>
      </c>
    </row>
    <row r="115" spans="2:10" x14ac:dyDescent="0.25">
      <c r="B115" s="5">
        <v>36312</v>
      </c>
      <c r="C115" s="6">
        <v>49813</v>
      </c>
      <c r="D115" s="6">
        <f t="shared" si="7"/>
        <v>148541</v>
      </c>
      <c r="E115" s="6">
        <f t="shared" si="9"/>
        <v>183308</v>
      </c>
      <c r="F115" s="5">
        <f t="shared" si="8"/>
        <v>45261</v>
      </c>
      <c r="G115">
        <f t="shared" si="5"/>
        <v>577790</v>
      </c>
      <c r="I115" s="5">
        <v>45261</v>
      </c>
      <c r="J115">
        <f t="shared" si="6"/>
        <v>547748</v>
      </c>
    </row>
    <row r="116" spans="2:10" x14ac:dyDescent="0.25">
      <c r="B116" s="5">
        <v>36342</v>
      </c>
      <c r="C116" s="6">
        <v>50400</v>
      </c>
      <c r="D116" s="6">
        <f t="shared" si="7"/>
        <v>149776</v>
      </c>
      <c r="E116" s="6">
        <f t="shared" si="9"/>
        <v>177270.75</v>
      </c>
      <c r="F116" s="5">
        <f t="shared" si="8"/>
        <v>45352</v>
      </c>
      <c r="G116">
        <f t="shared" si="5"/>
        <v>557018</v>
      </c>
      <c r="I116" s="5">
        <v>45352</v>
      </c>
      <c r="J116">
        <f t="shared" si="6"/>
        <v>563007.5</v>
      </c>
    </row>
    <row r="117" spans="2:10" x14ac:dyDescent="0.25">
      <c r="B117" s="5">
        <v>36373</v>
      </c>
      <c r="C117" s="6">
        <v>51852</v>
      </c>
      <c r="D117" s="6">
        <f t="shared" si="7"/>
        <v>152065</v>
      </c>
      <c r="E117" s="6">
        <f t="shared" si="9"/>
        <v>171453.25</v>
      </c>
      <c r="F117" s="5">
        <f t="shared" si="8"/>
        <v>45444</v>
      </c>
      <c r="G117">
        <f t="shared" si="5"/>
        <v>561472</v>
      </c>
      <c r="I117" s="5">
        <v>45444</v>
      </c>
      <c r="J117">
        <f t="shared" si="6"/>
        <v>565798</v>
      </c>
    </row>
    <row r="118" spans="2:10" x14ac:dyDescent="0.25">
      <c r="B118" s="5">
        <v>36404</v>
      </c>
      <c r="C118" s="6">
        <v>51863</v>
      </c>
      <c r="D118" s="6">
        <f t="shared" si="7"/>
        <v>154115</v>
      </c>
      <c r="E118" s="6">
        <f t="shared" si="9"/>
        <v>165770.5</v>
      </c>
      <c r="F118" s="5">
        <f t="shared" si="8"/>
        <v>45536</v>
      </c>
      <c r="G118">
        <f t="shared" si="5"/>
        <v>542427</v>
      </c>
      <c r="I118" s="5">
        <v>45536</v>
      </c>
      <c r="J118">
        <f t="shared" si="6"/>
        <v>559676.75</v>
      </c>
    </row>
    <row r="119" spans="2:10" x14ac:dyDescent="0.25">
      <c r="B119" s="5">
        <v>36434</v>
      </c>
      <c r="C119" s="6">
        <v>52678</v>
      </c>
      <c r="D119" s="6">
        <f t="shared" si="7"/>
        <v>156393</v>
      </c>
      <c r="E119" s="6">
        <f t="shared" si="9"/>
        <v>160009.25</v>
      </c>
      <c r="F119" s="5">
        <f t="shared" si="8"/>
        <v>45627</v>
      </c>
      <c r="G119">
        <f t="shared" si="5"/>
        <v>523904</v>
      </c>
      <c r="I119" s="5">
        <v>45627</v>
      </c>
      <c r="J119">
        <f t="shared" si="6"/>
        <v>546205.25</v>
      </c>
    </row>
    <row r="120" spans="2:10" x14ac:dyDescent="0.25">
      <c r="B120" s="5">
        <v>36465</v>
      </c>
      <c r="C120" s="6">
        <v>52188</v>
      </c>
      <c r="D120" s="6">
        <f t="shared" si="7"/>
        <v>156729</v>
      </c>
      <c r="E120" s="6">
        <f t="shared" si="9"/>
        <v>154610.25</v>
      </c>
      <c r="F120" s="5">
        <f t="shared" si="8"/>
        <v>45717</v>
      </c>
      <c r="G120">
        <f t="shared" si="5"/>
        <v>516982</v>
      </c>
      <c r="I120" s="5">
        <v>45717</v>
      </c>
      <c r="J120">
        <f t="shared" si="6"/>
        <v>536196.25</v>
      </c>
    </row>
    <row r="121" spans="2:10" x14ac:dyDescent="0.25">
      <c r="B121" s="5">
        <v>36495</v>
      </c>
      <c r="C121" s="6">
        <v>50054</v>
      </c>
      <c r="D121" s="6">
        <f t="shared" si="7"/>
        <v>154920</v>
      </c>
      <c r="E121" s="6">
        <f t="shared" si="9"/>
        <v>149822.5</v>
      </c>
      <c r="F121" s="5">
        <f t="shared" si="8"/>
        <v>45809</v>
      </c>
      <c r="G121">
        <f t="shared" si="5"/>
        <v>563762</v>
      </c>
      <c r="I121" s="5">
        <v>45809</v>
      </c>
      <c r="J121">
        <f t="shared" si="6"/>
        <v>536768.75</v>
      </c>
    </row>
    <row r="122" spans="2:10" x14ac:dyDescent="0.25">
      <c r="B122" s="5">
        <v>36526</v>
      </c>
      <c r="C122" s="6">
        <v>49367</v>
      </c>
      <c r="D122" s="6">
        <f t="shared" si="7"/>
        <v>151609</v>
      </c>
      <c r="E122" s="6">
        <f t="shared" si="9"/>
        <v>150601.5</v>
      </c>
      <c r="F122" s="5">
        <f t="shared" si="8"/>
        <v>45901</v>
      </c>
      <c r="G122">
        <f t="shared" si="5"/>
        <v>593067</v>
      </c>
      <c r="I122" s="5">
        <v>45901</v>
      </c>
      <c r="J122">
        <f t="shared" si="6"/>
        <v>549428.75</v>
      </c>
    </row>
    <row r="123" spans="2:10" x14ac:dyDescent="0.25">
      <c r="B123" s="5">
        <v>36557</v>
      </c>
      <c r="C123" s="6">
        <v>51269</v>
      </c>
      <c r="D123" s="6">
        <f t="shared" si="7"/>
        <v>150690</v>
      </c>
      <c r="E123" s="6">
        <f t="shared" si="9"/>
        <v>152072.75</v>
      </c>
      <c r="F123" s="5">
        <f t="shared" si="8"/>
        <v>45992</v>
      </c>
      <c r="G123">
        <f t="shared" si="5"/>
        <v>607082</v>
      </c>
      <c r="I123" s="5">
        <v>45992</v>
      </c>
      <c r="J123">
        <f t="shared" si="6"/>
        <v>570223.25</v>
      </c>
    </row>
    <row r="124" spans="2:10" x14ac:dyDescent="0.25">
      <c r="B124" s="5">
        <v>36586</v>
      </c>
      <c r="C124" s="6">
        <v>54284</v>
      </c>
      <c r="D124" s="6">
        <f t="shared" si="7"/>
        <v>154920</v>
      </c>
      <c r="E124" s="6">
        <f t="shared" si="9"/>
        <v>153124</v>
      </c>
      <c r="F124" s="5">
        <f t="shared" si="8"/>
        <v>46082</v>
      </c>
      <c r="G124">
        <f t="shared" si="5"/>
        <v>618183</v>
      </c>
      <c r="I124" s="5">
        <v>46082</v>
      </c>
      <c r="J124">
        <f t="shared" si="6"/>
        <v>595523.5</v>
      </c>
    </row>
    <row r="125" spans="2:10" x14ac:dyDescent="0.25">
      <c r="B125" s="5">
        <v>36617</v>
      </c>
      <c r="C125" s="6">
        <v>52099</v>
      </c>
      <c r="D125" s="6">
        <f t="shared" si="7"/>
        <v>157652</v>
      </c>
      <c r="E125" s="6">
        <f t="shared" si="9"/>
        <v>153857.5</v>
      </c>
      <c r="F125" s="5">
        <f t="shared" si="8"/>
        <v>46174</v>
      </c>
      <c r="G125">
        <f t="shared" si="5"/>
        <v>678769</v>
      </c>
      <c r="I125" s="5">
        <v>46174</v>
      </c>
      <c r="J125">
        <f t="shared" si="6"/>
        <v>624275.25</v>
      </c>
    </row>
    <row r="126" spans="2:10" x14ac:dyDescent="0.25">
      <c r="B126" s="5">
        <v>36647</v>
      </c>
      <c r="C126" s="6">
        <v>54569</v>
      </c>
      <c r="D126" s="6">
        <f t="shared" si="7"/>
        <v>160952</v>
      </c>
      <c r="E126" s="6">
        <f t="shared" si="9"/>
        <v>155109</v>
      </c>
      <c r="F126" s="5"/>
      <c r="I126" s="5"/>
    </row>
    <row r="127" spans="2:10" x14ac:dyDescent="0.25">
      <c r="B127" s="5">
        <v>36678</v>
      </c>
      <c r="C127" s="6">
        <v>55104</v>
      </c>
      <c r="D127" s="6">
        <f t="shared" si="7"/>
        <v>161772</v>
      </c>
      <c r="E127" s="6">
        <f t="shared" si="9"/>
        <v>156431.75</v>
      </c>
      <c r="F127" s="5"/>
      <c r="I127" s="5"/>
    </row>
    <row r="128" spans="2:10" x14ac:dyDescent="0.25">
      <c r="B128" s="5">
        <v>36708</v>
      </c>
      <c r="C128" s="6">
        <v>55853</v>
      </c>
      <c r="D128" s="6">
        <f t="shared" si="7"/>
        <v>165526</v>
      </c>
      <c r="E128" s="6">
        <f t="shared" si="9"/>
        <v>157795</v>
      </c>
      <c r="F128" s="5"/>
      <c r="I128" s="5"/>
    </row>
    <row r="129" spans="2:9" x14ac:dyDescent="0.25">
      <c r="B129" s="5">
        <v>36739</v>
      </c>
      <c r="C129" s="6">
        <v>57258</v>
      </c>
      <c r="D129" s="6">
        <f t="shared" si="7"/>
        <v>168215</v>
      </c>
      <c r="E129" s="6">
        <f t="shared" si="9"/>
        <v>159146.5</v>
      </c>
      <c r="F129" s="5"/>
      <c r="I129" s="5"/>
    </row>
    <row r="130" spans="2:9" x14ac:dyDescent="0.25">
      <c r="B130" s="5">
        <v>36770</v>
      </c>
      <c r="C130" s="6">
        <v>55947</v>
      </c>
      <c r="D130" s="6">
        <f t="shared" si="7"/>
        <v>169058</v>
      </c>
      <c r="E130" s="6">
        <f t="shared" si="9"/>
        <v>160167.5</v>
      </c>
      <c r="F130" s="5"/>
      <c r="I130" s="5"/>
    </row>
    <row r="131" spans="2:9" x14ac:dyDescent="0.25">
      <c r="B131" s="5">
        <v>36800</v>
      </c>
      <c r="C131" s="6">
        <v>58193</v>
      </c>
      <c r="D131" s="6">
        <f t="shared" si="7"/>
        <v>171398</v>
      </c>
      <c r="E131" s="6">
        <f t="shared" si="9"/>
        <v>161546.25</v>
      </c>
      <c r="F131" s="5"/>
      <c r="I131" s="5"/>
    </row>
    <row r="132" spans="2:9" x14ac:dyDescent="0.25">
      <c r="B132" s="5">
        <v>36831</v>
      </c>
      <c r="C132" s="6">
        <v>57145</v>
      </c>
      <c r="D132" s="6">
        <f t="shared" si="7"/>
        <v>171285</v>
      </c>
      <c r="E132" s="6">
        <f t="shared" si="9"/>
        <v>162785.5</v>
      </c>
      <c r="F132" s="5"/>
      <c r="I132" s="5"/>
    </row>
    <row r="133" spans="2:9" x14ac:dyDescent="0.25">
      <c r="B133" s="5">
        <v>36861</v>
      </c>
      <c r="C133" s="6">
        <v>54620</v>
      </c>
      <c r="D133" s="6">
        <f t="shared" si="7"/>
        <v>169958</v>
      </c>
      <c r="E133" s="6">
        <f t="shared" si="9"/>
        <v>163927</v>
      </c>
      <c r="F133" s="5"/>
      <c r="I133" s="5"/>
    </row>
    <row r="134" spans="2:9" x14ac:dyDescent="0.25">
      <c r="B134" s="5">
        <v>36892</v>
      </c>
      <c r="C134" s="6">
        <v>44006</v>
      </c>
      <c r="D134" s="6">
        <f t="shared" ref="D134:D197" si="10">SUM(C132:C134)</f>
        <v>155771</v>
      </c>
      <c r="E134" s="6">
        <f t="shared" si="9"/>
        <v>162586.75</v>
      </c>
      <c r="F134" s="5"/>
      <c r="I134" s="5"/>
    </row>
    <row r="135" spans="2:9" x14ac:dyDescent="0.25">
      <c r="B135" s="5">
        <v>36923</v>
      </c>
      <c r="C135" s="6">
        <v>44227</v>
      </c>
      <c r="D135" s="6">
        <f t="shared" si="10"/>
        <v>142853</v>
      </c>
      <c r="E135" s="6">
        <f t="shared" si="9"/>
        <v>160826.25</v>
      </c>
      <c r="F135" s="5"/>
      <c r="I135" s="5"/>
    </row>
    <row r="136" spans="2:9" x14ac:dyDescent="0.25">
      <c r="B136" s="5">
        <v>36951</v>
      </c>
      <c r="C136" s="6">
        <v>47483</v>
      </c>
      <c r="D136" s="6">
        <f t="shared" si="10"/>
        <v>135716</v>
      </c>
      <c r="E136" s="6">
        <f t="shared" si="9"/>
        <v>159126</v>
      </c>
      <c r="F136" s="5"/>
      <c r="I136" s="5"/>
    </row>
    <row r="137" spans="2:9" x14ac:dyDescent="0.25">
      <c r="B137" s="5">
        <v>36982</v>
      </c>
      <c r="C137" s="6">
        <v>46705</v>
      </c>
      <c r="D137" s="6">
        <f t="shared" si="10"/>
        <v>138415</v>
      </c>
      <c r="E137" s="6">
        <f t="shared" si="9"/>
        <v>157777.5</v>
      </c>
      <c r="F137" s="5"/>
      <c r="I137" s="5"/>
    </row>
    <row r="138" spans="2:9" x14ac:dyDescent="0.25">
      <c r="B138" s="5">
        <v>37012</v>
      </c>
      <c r="C138" s="6">
        <v>48304</v>
      </c>
      <c r="D138" s="6">
        <f t="shared" si="10"/>
        <v>142492</v>
      </c>
      <c r="E138" s="6">
        <f t="shared" si="9"/>
        <v>156211.25</v>
      </c>
      <c r="F138" s="5"/>
      <c r="I138" s="5"/>
    </row>
    <row r="139" spans="2:9" x14ac:dyDescent="0.25">
      <c r="B139" s="5">
        <v>37043</v>
      </c>
      <c r="C139" s="6">
        <v>45024</v>
      </c>
      <c r="D139" s="6">
        <f t="shared" si="10"/>
        <v>140033</v>
      </c>
      <c r="E139" s="6">
        <f t="shared" si="9"/>
        <v>153691.25</v>
      </c>
      <c r="F139" s="5"/>
      <c r="I139" s="5"/>
    </row>
    <row r="140" spans="2:9" x14ac:dyDescent="0.25">
      <c r="B140" s="5">
        <v>37073</v>
      </c>
      <c r="C140" s="6">
        <v>47259</v>
      </c>
      <c r="D140" s="6">
        <f t="shared" si="10"/>
        <v>140587</v>
      </c>
      <c r="E140" s="6">
        <f t="shared" si="9"/>
        <v>151542.75</v>
      </c>
      <c r="F140" s="5"/>
      <c r="I140" s="5"/>
    </row>
    <row r="141" spans="2:9" x14ac:dyDescent="0.25">
      <c r="B141" s="5">
        <v>37104</v>
      </c>
      <c r="C141" s="6">
        <v>48406</v>
      </c>
      <c r="D141" s="6">
        <f t="shared" si="10"/>
        <v>140689</v>
      </c>
      <c r="E141" s="6">
        <f t="shared" si="9"/>
        <v>149329.75</v>
      </c>
      <c r="F141" s="5"/>
      <c r="I141" s="5"/>
    </row>
    <row r="142" spans="2:9" x14ac:dyDescent="0.25">
      <c r="B142" s="5">
        <v>37135</v>
      </c>
      <c r="C142" s="6">
        <v>47122</v>
      </c>
      <c r="D142" s="6">
        <f t="shared" si="10"/>
        <v>142787</v>
      </c>
      <c r="E142" s="6">
        <f t="shared" ref="E142:E205" si="11">SUM(C131:C142)/4</f>
        <v>147123.5</v>
      </c>
      <c r="F142" s="5"/>
      <c r="I142" s="5"/>
    </row>
    <row r="143" spans="2:9" x14ac:dyDescent="0.25">
      <c r="B143" s="5">
        <v>37165</v>
      </c>
      <c r="C143" s="6">
        <v>48468</v>
      </c>
      <c r="D143" s="6">
        <f t="shared" si="10"/>
        <v>143996</v>
      </c>
      <c r="E143" s="6">
        <f t="shared" si="11"/>
        <v>144692.25</v>
      </c>
      <c r="F143" s="5"/>
      <c r="I143" s="5"/>
    </row>
    <row r="144" spans="2:9" x14ac:dyDescent="0.25">
      <c r="B144" s="5">
        <v>37196</v>
      </c>
      <c r="C144" s="6">
        <v>47790</v>
      </c>
      <c r="D144" s="6">
        <f t="shared" si="10"/>
        <v>143380</v>
      </c>
      <c r="E144" s="6">
        <f t="shared" si="11"/>
        <v>142353.5</v>
      </c>
      <c r="F144" s="5"/>
      <c r="I144" s="5"/>
    </row>
    <row r="145" spans="2:9" x14ac:dyDescent="0.25">
      <c r="B145" s="5">
        <v>37226</v>
      </c>
      <c r="C145" s="6">
        <v>44767</v>
      </c>
      <c r="D145" s="6">
        <f t="shared" si="10"/>
        <v>141025</v>
      </c>
      <c r="E145" s="6">
        <f t="shared" si="11"/>
        <v>139890.25</v>
      </c>
      <c r="F145" s="5"/>
      <c r="I145" s="5"/>
    </row>
    <row r="146" spans="2:9" x14ac:dyDescent="0.25">
      <c r="B146" s="5">
        <v>37257</v>
      </c>
      <c r="C146" s="6">
        <v>38931</v>
      </c>
      <c r="D146" s="6">
        <f t="shared" si="10"/>
        <v>131488</v>
      </c>
      <c r="E146" s="6">
        <f t="shared" si="11"/>
        <v>138621.5</v>
      </c>
      <c r="F146" s="5"/>
      <c r="I146" s="5"/>
    </row>
    <row r="147" spans="2:9" x14ac:dyDescent="0.25">
      <c r="B147" s="5">
        <v>37288</v>
      </c>
      <c r="C147" s="6">
        <v>38954</v>
      </c>
      <c r="D147" s="6">
        <f t="shared" si="10"/>
        <v>122652</v>
      </c>
      <c r="E147" s="6">
        <f t="shared" si="11"/>
        <v>137303.25</v>
      </c>
      <c r="F147" s="5"/>
      <c r="I147" s="5"/>
    </row>
    <row r="148" spans="2:9" x14ac:dyDescent="0.25">
      <c r="B148" s="5">
        <v>37316</v>
      </c>
      <c r="C148" s="6">
        <v>41824</v>
      </c>
      <c r="D148" s="6">
        <f t="shared" si="10"/>
        <v>119709</v>
      </c>
      <c r="E148" s="6">
        <f t="shared" si="11"/>
        <v>135888.5</v>
      </c>
      <c r="F148" s="5"/>
      <c r="I148" s="5"/>
    </row>
    <row r="149" spans="2:9" x14ac:dyDescent="0.25">
      <c r="B149" s="5">
        <v>37347</v>
      </c>
      <c r="C149" s="6">
        <v>42076</v>
      </c>
      <c r="D149" s="6">
        <f t="shared" si="10"/>
        <v>122854</v>
      </c>
      <c r="E149" s="6">
        <f t="shared" si="11"/>
        <v>134731.25</v>
      </c>
      <c r="F149" s="5"/>
      <c r="I149" s="5"/>
    </row>
    <row r="150" spans="2:9" x14ac:dyDescent="0.25">
      <c r="B150" s="5">
        <v>37377</v>
      </c>
      <c r="C150" s="6">
        <v>42426</v>
      </c>
      <c r="D150" s="6">
        <f t="shared" si="10"/>
        <v>126326</v>
      </c>
      <c r="E150" s="6">
        <f t="shared" si="11"/>
        <v>133261.75</v>
      </c>
      <c r="F150" s="5"/>
      <c r="I150" s="5"/>
    </row>
    <row r="151" spans="2:9" x14ac:dyDescent="0.25">
      <c r="B151" s="5">
        <v>37408</v>
      </c>
      <c r="C151" s="6">
        <v>41359</v>
      </c>
      <c r="D151" s="6">
        <f t="shared" si="10"/>
        <v>125861</v>
      </c>
      <c r="E151" s="6">
        <f t="shared" si="11"/>
        <v>132345.5</v>
      </c>
      <c r="F151" s="5"/>
      <c r="I151" s="5"/>
    </row>
    <row r="152" spans="2:9" x14ac:dyDescent="0.25">
      <c r="B152" s="5">
        <v>37438</v>
      </c>
      <c r="C152" s="6">
        <v>43213</v>
      </c>
      <c r="D152" s="6">
        <f t="shared" si="10"/>
        <v>126998</v>
      </c>
      <c r="E152" s="6">
        <f t="shared" si="11"/>
        <v>131334</v>
      </c>
      <c r="F152" s="5"/>
      <c r="I152" s="5"/>
    </row>
    <row r="153" spans="2:9" x14ac:dyDescent="0.25">
      <c r="B153" s="5">
        <v>37469</v>
      </c>
      <c r="C153" s="6">
        <v>44146</v>
      </c>
      <c r="D153" s="6">
        <f t="shared" si="10"/>
        <v>128718</v>
      </c>
      <c r="E153" s="6">
        <f t="shared" si="11"/>
        <v>130269</v>
      </c>
      <c r="F153" s="5"/>
      <c r="I153" s="5"/>
    </row>
    <row r="154" spans="2:9" x14ac:dyDescent="0.25">
      <c r="B154" s="5">
        <v>37500</v>
      </c>
      <c r="C154" s="6">
        <v>43665</v>
      </c>
      <c r="D154" s="6">
        <f t="shared" si="10"/>
        <v>131024</v>
      </c>
      <c r="E154" s="6">
        <f t="shared" si="11"/>
        <v>129404.75</v>
      </c>
      <c r="F154" s="5"/>
      <c r="I154" s="5"/>
    </row>
    <row r="155" spans="2:9" x14ac:dyDescent="0.25">
      <c r="B155" s="5">
        <v>37530</v>
      </c>
      <c r="C155" s="6">
        <v>45256</v>
      </c>
      <c r="D155" s="6">
        <f t="shared" si="10"/>
        <v>133067</v>
      </c>
      <c r="E155" s="6">
        <f t="shared" si="11"/>
        <v>128601.75</v>
      </c>
      <c r="F155" s="5"/>
      <c r="I155" s="5"/>
    </row>
    <row r="156" spans="2:9" x14ac:dyDescent="0.25">
      <c r="B156" s="5">
        <v>37561</v>
      </c>
      <c r="C156" s="6">
        <v>44313</v>
      </c>
      <c r="D156" s="6">
        <f t="shared" si="10"/>
        <v>133234</v>
      </c>
      <c r="E156" s="6">
        <f t="shared" si="11"/>
        <v>127732.5</v>
      </c>
      <c r="F156" s="5"/>
      <c r="I156" s="5"/>
    </row>
    <row r="157" spans="2:9" x14ac:dyDescent="0.25">
      <c r="B157" s="5">
        <v>37591</v>
      </c>
      <c r="C157" s="6">
        <v>41939</v>
      </c>
      <c r="D157" s="6">
        <f t="shared" si="10"/>
        <v>131508</v>
      </c>
      <c r="E157" s="6">
        <f t="shared" si="11"/>
        <v>127025.5</v>
      </c>
      <c r="F157" s="5"/>
      <c r="I157" s="5"/>
    </row>
    <row r="158" spans="2:9" x14ac:dyDescent="0.25">
      <c r="B158" s="5">
        <v>37622</v>
      </c>
      <c r="C158" s="6">
        <v>36234</v>
      </c>
      <c r="D158" s="6">
        <f t="shared" si="10"/>
        <v>122486</v>
      </c>
      <c r="E158" s="6">
        <f t="shared" si="11"/>
        <v>126351.25</v>
      </c>
      <c r="F158" s="5"/>
      <c r="I158" s="5"/>
    </row>
    <row r="159" spans="2:9" x14ac:dyDescent="0.25">
      <c r="B159" s="5">
        <v>37653</v>
      </c>
      <c r="C159" s="6">
        <v>36261</v>
      </c>
      <c r="D159" s="6">
        <f t="shared" si="10"/>
        <v>114434</v>
      </c>
      <c r="E159" s="6">
        <f t="shared" si="11"/>
        <v>125678</v>
      </c>
      <c r="F159" s="5"/>
      <c r="I159" s="5"/>
    </row>
    <row r="160" spans="2:9" x14ac:dyDescent="0.25">
      <c r="B160" s="5">
        <v>37681</v>
      </c>
      <c r="C160" s="6">
        <v>40303</v>
      </c>
      <c r="D160" s="6">
        <f t="shared" si="10"/>
        <v>112798</v>
      </c>
      <c r="E160" s="6">
        <f t="shared" si="11"/>
        <v>125297.75</v>
      </c>
      <c r="F160" s="5"/>
      <c r="I160" s="5"/>
    </row>
    <row r="161" spans="2:9" x14ac:dyDescent="0.25">
      <c r="B161" s="5">
        <v>37712</v>
      </c>
      <c r="C161" s="6">
        <v>44825</v>
      </c>
      <c r="D161" s="6">
        <f t="shared" si="10"/>
        <v>121389</v>
      </c>
      <c r="E161" s="6">
        <f t="shared" si="11"/>
        <v>125985</v>
      </c>
      <c r="F161" s="5"/>
      <c r="I161" s="5"/>
    </row>
    <row r="162" spans="2:9" x14ac:dyDescent="0.25">
      <c r="B162" s="5">
        <v>37742</v>
      </c>
      <c r="C162" s="6">
        <v>46993</v>
      </c>
      <c r="D162" s="6">
        <f t="shared" si="10"/>
        <v>132121</v>
      </c>
      <c r="E162" s="6">
        <f t="shared" si="11"/>
        <v>127126.75</v>
      </c>
      <c r="F162" s="5"/>
      <c r="I162" s="5"/>
    </row>
    <row r="163" spans="2:9" x14ac:dyDescent="0.25">
      <c r="B163" s="5">
        <v>37773</v>
      </c>
      <c r="C163" s="6">
        <v>47460</v>
      </c>
      <c r="D163" s="6">
        <f t="shared" si="10"/>
        <v>139278</v>
      </c>
      <c r="E163" s="6">
        <f t="shared" si="11"/>
        <v>128652</v>
      </c>
      <c r="F163" s="5"/>
      <c r="I163" s="5"/>
    </row>
    <row r="164" spans="2:9" x14ac:dyDescent="0.25">
      <c r="B164" s="5">
        <v>37803</v>
      </c>
      <c r="C164" s="6">
        <v>49845</v>
      </c>
      <c r="D164" s="6">
        <f t="shared" si="10"/>
        <v>144298</v>
      </c>
      <c r="E164" s="6">
        <f t="shared" si="11"/>
        <v>130310</v>
      </c>
      <c r="F164" s="5"/>
      <c r="I164" s="5"/>
    </row>
    <row r="165" spans="2:9" x14ac:dyDescent="0.25">
      <c r="B165" s="5">
        <v>37834</v>
      </c>
      <c r="C165" s="6">
        <v>47745</v>
      </c>
      <c r="D165" s="6">
        <f t="shared" si="10"/>
        <v>145050</v>
      </c>
      <c r="E165" s="6">
        <f t="shared" si="11"/>
        <v>131209.75</v>
      </c>
      <c r="F165" s="5"/>
      <c r="I165" s="5"/>
    </row>
    <row r="166" spans="2:9" x14ac:dyDescent="0.25">
      <c r="B166" s="5">
        <v>37865</v>
      </c>
      <c r="C166" s="6">
        <v>51113</v>
      </c>
      <c r="D166" s="6">
        <f t="shared" si="10"/>
        <v>148703</v>
      </c>
      <c r="E166" s="6">
        <f t="shared" si="11"/>
        <v>133071.75</v>
      </c>
      <c r="F166" s="5"/>
      <c r="I166" s="5"/>
    </row>
    <row r="167" spans="2:9" x14ac:dyDescent="0.25">
      <c r="B167" s="5">
        <v>37895</v>
      </c>
      <c r="C167" s="6">
        <v>55021</v>
      </c>
      <c r="D167" s="6">
        <f t="shared" si="10"/>
        <v>153879</v>
      </c>
      <c r="E167" s="6">
        <f t="shared" si="11"/>
        <v>135513</v>
      </c>
      <c r="F167" s="5"/>
      <c r="I167" s="5"/>
    </row>
    <row r="168" spans="2:9" x14ac:dyDescent="0.25">
      <c r="B168" s="5">
        <v>37926</v>
      </c>
      <c r="C168" s="6">
        <v>52851</v>
      </c>
      <c r="D168" s="6">
        <f t="shared" si="10"/>
        <v>158985</v>
      </c>
      <c r="E168" s="6">
        <f t="shared" si="11"/>
        <v>137647.5</v>
      </c>
      <c r="F168" s="5"/>
      <c r="I168" s="5"/>
    </row>
    <row r="169" spans="2:9" x14ac:dyDescent="0.25">
      <c r="B169" s="5">
        <v>37956</v>
      </c>
      <c r="C169" s="6">
        <v>50814</v>
      </c>
      <c r="D169" s="6">
        <f t="shared" si="10"/>
        <v>158686</v>
      </c>
      <c r="E169" s="6">
        <f t="shared" si="11"/>
        <v>139866.25</v>
      </c>
      <c r="F169" s="5"/>
      <c r="I169" s="5"/>
    </row>
    <row r="170" spans="2:9" x14ac:dyDescent="0.25">
      <c r="B170" s="5">
        <v>37987</v>
      </c>
      <c r="C170" s="6">
        <v>49795</v>
      </c>
      <c r="D170" s="6">
        <f t="shared" si="10"/>
        <v>153460</v>
      </c>
      <c r="E170" s="6">
        <f t="shared" si="11"/>
        <v>143256.5</v>
      </c>
      <c r="F170" s="5"/>
      <c r="I170" s="5"/>
    </row>
    <row r="171" spans="2:9" x14ac:dyDescent="0.25">
      <c r="B171" s="5">
        <v>38018</v>
      </c>
      <c r="C171" s="6">
        <v>48227</v>
      </c>
      <c r="D171" s="6">
        <f t="shared" si="10"/>
        <v>148836</v>
      </c>
      <c r="E171" s="6">
        <f t="shared" si="11"/>
        <v>146248</v>
      </c>
      <c r="F171" s="5"/>
      <c r="I171" s="5"/>
    </row>
    <row r="172" spans="2:9" x14ac:dyDescent="0.25">
      <c r="B172" s="5">
        <v>38047</v>
      </c>
      <c r="C172" s="6">
        <v>55204</v>
      </c>
      <c r="D172" s="6">
        <f t="shared" si="10"/>
        <v>153226</v>
      </c>
      <c r="E172" s="6">
        <f t="shared" si="11"/>
        <v>149973.25</v>
      </c>
      <c r="F172" s="5"/>
      <c r="I172" s="5"/>
    </row>
    <row r="173" spans="2:9" x14ac:dyDescent="0.25">
      <c r="B173" s="5">
        <v>38078</v>
      </c>
      <c r="C173" s="6">
        <v>54684</v>
      </c>
      <c r="D173" s="6">
        <f t="shared" si="10"/>
        <v>158115</v>
      </c>
      <c r="E173" s="6">
        <f t="shared" si="11"/>
        <v>152438</v>
      </c>
      <c r="F173" s="5"/>
      <c r="I173" s="5"/>
    </row>
    <row r="174" spans="2:9" x14ac:dyDescent="0.25">
      <c r="B174" s="5">
        <v>38108</v>
      </c>
      <c r="C174" s="6">
        <v>51591</v>
      </c>
      <c r="D174" s="6">
        <f t="shared" si="10"/>
        <v>161479</v>
      </c>
      <c r="E174" s="6">
        <f t="shared" si="11"/>
        <v>153587.5</v>
      </c>
      <c r="F174" s="5"/>
      <c r="I174" s="5"/>
    </row>
    <row r="175" spans="2:9" x14ac:dyDescent="0.25">
      <c r="B175" s="5">
        <v>38139</v>
      </c>
      <c r="C175" s="6">
        <v>51909</v>
      </c>
      <c r="D175" s="6">
        <f t="shared" si="10"/>
        <v>158184</v>
      </c>
      <c r="E175" s="6">
        <f t="shared" si="11"/>
        <v>154699.75</v>
      </c>
      <c r="F175" s="5"/>
      <c r="I175" s="5"/>
    </row>
    <row r="176" spans="2:9" x14ac:dyDescent="0.25">
      <c r="B176" s="5">
        <v>38169</v>
      </c>
      <c r="C176" s="6">
        <v>55343</v>
      </c>
      <c r="D176" s="6">
        <f t="shared" si="10"/>
        <v>158843</v>
      </c>
      <c r="E176" s="6">
        <f t="shared" si="11"/>
        <v>156074.25</v>
      </c>
      <c r="F176" s="5"/>
      <c r="I176" s="5"/>
    </row>
    <row r="177" spans="2:9" x14ac:dyDescent="0.25">
      <c r="B177" s="5">
        <v>38200</v>
      </c>
      <c r="C177" s="6">
        <v>55908</v>
      </c>
      <c r="D177" s="6">
        <f t="shared" si="10"/>
        <v>163160</v>
      </c>
      <c r="E177" s="6">
        <f t="shared" si="11"/>
        <v>158115</v>
      </c>
      <c r="F177" s="5"/>
      <c r="I177" s="5"/>
    </row>
    <row r="178" spans="2:9" x14ac:dyDescent="0.25">
      <c r="B178" s="5">
        <v>38231</v>
      </c>
      <c r="C178" s="6">
        <v>58358</v>
      </c>
      <c r="D178" s="6">
        <f t="shared" si="10"/>
        <v>169609</v>
      </c>
      <c r="E178" s="6">
        <f t="shared" si="11"/>
        <v>159926.25</v>
      </c>
      <c r="F178" s="5"/>
      <c r="I178" s="5"/>
    </row>
    <row r="179" spans="2:9" x14ac:dyDescent="0.25">
      <c r="B179" s="5">
        <v>38261</v>
      </c>
      <c r="C179" s="6">
        <v>61004</v>
      </c>
      <c r="D179" s="6">
        <f t="shared" si="10"/>
        <v>175270</v>
      </c>
      <c r="E179" s="6">
        <f t="shared" si="11"/>
        <v>161422</v>
      </c>
      <c r="F179" s="5"/>
      <c r="I179" s="5"/>
    </row>
    <row r="180" spans="2:9" x14ac:dyDescent="0.25">
      <c r="B180" s="5">
        <v>38292</v>
      </c>
      <c r="C180" s="6">
        <v>63718</v>
      </c>
      <c r="D180" s="6">
        <f t="shared" si="10"/>
        <v>183080</v>
      </c>
      <c r="E180" s="6">
        <f t="shared" si="11"/>
        <v>164138.75</v>
      </c>
      <c r="F180" s="5"/>
      <c r="I180" s="5"/>
    </row>
    <row r="181" spans="2:9" x14ac:dyDescent="0.25">
      <c r="B181" s="5">
        <v>38322</v>
      </c>
      <c r="C181" s="6">
        <v>63598</v>
      </c>
      <c r="D181" s="6">
        <f t="shared" si="10"/>
        <v>188320</v>
      </c>
      <c r="E181" s="6">
        <f t="shared" si="11"/>
        <v>167334.75</v>
      </c>
      <c r="F181" s="5"/>
      <c r="I181" s="5"/>
    </row>
    <row r="182" spans="2:9" x14ac:dyDescent="0.25">
      <c r="B182" s="5">
        <v>38353</v>
      </c>
      <c r="C182" s="6">
        <v>59732</v>
      </c>
      <c r="D182" s="6">
        <f t="shared" si="10"/>
        <v>187048</v>
      </c>
      <c r="E182" s="6">
        <f t="shared" si="11"/>
        <v>169819</v>
      </c>
      <c r="F182" s="5"/>
      <c r="I182" s="5"/>
    </row>
    <row r="183" spans="2:9" x14ac:dyDescent="0.25">
      <c r="B183" s="5">
        <v>38384</v>
      </c>
      <c r="C183" s="6">
        <v>61217</v>
      </c>
      <c r="D183" s="6">
        <f t="shared" si="10"/>
        <v>184547</v>
      </c>
      <c r="E183" s="6">
        <f t="shared" si="11"/>
        <v>173066.5</v>
      </c>
      <c r="F183" s="5"/>
      <c r="I183" s="5"/>
    </row>
    <row r="184" spans="2:9" x14ac:dyDescent="0.25">
      <c r="B184" s="5">
        <v>38412</v>
      </c>
      <c r="C184" s="6">
        <v>65406</v>
      </c>
      <c r="D184" s="6">
        <f t="shared" si="10"/>
        <v>186355</v>
      </c>
      <c r="E184" s="6">
        <f t="shared" si="11"/>
        <v>175617</v>
      </c>
      <c r="F184" s="5"/>
      <c r="I184" s="5"/>
    </row>
    <row r="185" spans="2:9" x14ac:dyDescent="0.25">
      <c r="B185" s="5">
        <v>38443</v>
      </c>
      <c r="C185" s="6">
        <v>68475</v>
      </c>
      <c r="D185" s="6">
        <f t="shared" si="10"/>
        <v>195098</v>
      </c>
      <c r="E185" s="6">
        <f t="shared" si="11"/>
        <v>179064.75</v>
      </c>
      <c r="F185" s="5"/>
      <c r="I185" s="5"/>
    </row>
    <row r="186" spans="2:9" x14ac:dyDescent="0.25">
      <c r="B186" s="5">
        <v>38473</v>
      </c>
      <c r="C186" s="6">
        <v>72056</v>
      </c>
      <c r="D186" s="6">
        <f t="shared" si="10"/>
        <v>205937</v>
      </c>
      <c r="E186" s="6">
        <f t="shared" si="11"/>
        <v>184181</v>
      </c>
      <c r="F186" s="5"/>
      <c r="I186" s="5"/>
    </row>
    <row r="187" spans="2:9" x14ac:dyDescent="0.25">
      <c r="B187" s="5">
        <v>38504</v>
      </c>
      <c r="C187" s="6">
        <v>73777</v>
      </c>
      <c r="D187" s="6">
        <f t="shared" si="10"/>
        <v>214308</v>
      </c>
      <c r="E187" s="6">
        <f t="shared" si="11"/>
        <v>189648</v>
      </c>
      <c r="F187" s="5"/>
      <c r="I187" s="5"/>
    </row>
    <row r="188" spans="2:9" x14ac:dyDescent="0.25">
      <c r="B188" s="5">
        <v>38534</v>
      </c>
      <c r="C188" s="6">
        <v>75918</v>
      </c>
      <c r="D188" s="6">
        <f t="shared" si="10"/>
        <v>221751</v>
      </c>
      <c r="E188" s="6">
        <f t="shared" si="11"/>
        <v>194791.75</v>
      </c>
      <c r="F188" s="5"/>
      <c r="I188" s="5"/>
    </row>
    <row r="189" spans="2:9" x14ac:dyDescent="0.25">
      <c r="B189" s="5">
        <v>38565</v>
      </c>
      <c r="C189" s="6">
        <v>78460</v>
      </c>
      <c r="D189" s="6">
        <f t="shared" si="10"/>
        <v>228155</v>
      </c>
      <c r="E189" s="6">
        <f t="shared" si="11"/>
        <v>200429.75</v>
      </c>
      <c r="F189" s="5"/>
      <c r="I189" s="5"/>
    </row>
    <row r="190" spans="2:9" x14ac:dyDescent="0.25">
      <c r="B190" s="5">
        <v>38596</v>
      </c>
      <c r="C190" s="6">
        <v>79783</v>
      </c>
      <c r="D190" s="6">
        <f t="shared" si="10"/>
        <v>234161</v>
      </c>
      <c r="E190" s="6">
        <f t="shared" si="11"/>
        <v>205786</v>
      </c>
      <c r="F190" s="5"/>
      <c r="I190" s="5"/>
    </row>
    <row r="191" spans="2:9" x14ac:dyDescent="0.25">
      <c r="B191" s="5">
        <v>38626</v>
      </c>
      <c r="C191" s="6">
        <v>84897</v>
      </c>
      <c r="D191" s="6">
        <f t="shared" si="10"/>
        <v>243140</v>
      </c>
      <c r="E191" s="6">
        <f t="shared" si="11"/>
        <v>211759.25</v>
      </c>
      <c r="F191" s="5"/>
      <c r="I191" s="5"/>
    </row>
    <row r="192" spans="2:9" x14ac:dyDescent="0.25">
      <c r="B192" s="5">
        <v>38657</v>
      </c>
      <c r="C192" s="6">
        <v>88280</v>
      </c>
      <c r="D192" s="6">
        <f t="shared" si="10"/>
        <v>252960</v>
      </c>
      <c r="E192" s="6">
        <f t="shared" si="11"/>
        <v>217899.75</v>
      </c>
      <c r="F192" s="5"/>
      <c r="I192" s="5"/>
    </row>
    <row r="193" spans="2:9" x14ac:dyDescent="0.25">
      <c r="B193" s="5">
        <v>38687</v>
      </c>
      <c r="C193" s="6">
        <v>84031</v>
      </c>
      <c r="D193" s="6">
        <f t="shared" si="10"/>
        <v>257208</v>
      </c>
      <c r="E193" s="6">
        <f t="shared" si="11"/>
        <v>223008</v>
      </c>
      <c r="F193" s="5"/>
      <c r="I193" s="5"/>
    </row>
    <row r="194" spans="2:9" x14ac:dyDescent="0.25">
      <c r="B194" s="5">
        <v>38718</v>
      </c>
      <c r="C194" s="6">
        <v>79580</v>
      </c>
      <c r="D194" s="6">
        <f t="shared" si="10"/>
        <v>251891</v>
      </c>
      <c r="E194" s="6">
        <f t="shared" si="11"/>
        <v>227970</v>
      </c>
      <c r="F194" s="5"/>
      <c r="I194" s="5"/>
    </row>
    <row r="195" spans="2:9" x14ac:dyDescent="0.25">
      <c r="B195" s="5">
        <v>38749</v>
      </c>
      <c r="C195" s="6">
        <v>81620</v>
      </c>
      <c r="D195" s="6">
        <f t="shared" si="10"/>
        <v>245231</v>
      </c>
      <c r="E195" s="6">
        <f t="shared" si="11"/>
        <v>233070.75</v>
      </c>
      <c r="F195" s="5"/>
      <c r="I195" s="5"/>
    </row>
    <row r="196" spans="2:9" x14ac:dyDescent="0.25">
      <c r="B196" s="5">
        <v>38777</v>
      </c>
      <c r="C196" s="6">
        <v>90691</v>
      </c>
      <c r="D196" s="6">
        <f t="shared" si="10"/>
        <v>251891</v>
      </c>
      <c r="E196" s="6">
        <f t="shared" si="11"/>
        <v>239392</v>
      </c>
      <c r="F196" s="5"/>
      <c r="I196" s="5"/>
    </row>
    <row r="197" spans="2:9" x14ac:dyDescent="0.25">
      <c r="B197" s="5">
        <v>38808</v>
      </c>
      <c r="C197" s="6">
        <v>88453</v>
      </c>
      <c r="D197" s="6">
        <f t="shared" si="10"/>
        <v>260764</v>
      </c>
      <c r="E197" s="6">
        <f t="shared" si="11"/>
        <v>244386.5</v>
      </c>
      <c r="F197" s="5"/>
      <c r="I197" s="5"/>
    </row>
    <row r="198" spans="2:9" x14ac:dyDescent="0.25">
      <c r="B198" s="5">
        <v>38838</v>
      </c>
      <c r="C198" s="6">
        <v>91180</v>
      </c>
      <c r="D198" s="6">
        <f t="shared" ref="D198:D261" si="12">SUM(C196:C198)</f>
        <v>270324</v>
      </c>
      <c r="E198" s="6">
        <f t="shared" si="11"/>
        <v>249167.5</v>
      </c>
      <c r="F198" s="5"/>
      <c r="I198" s="5"/>
    </row>
    <row r="199" spans="2:9" x14ac:dyDescent="0.25">
      <c r="B199" s="5">
        <v>38869</v>
      </c>
      <c r="C199" s="6">
        <v>86562</v>
      </c>
      <c r="D199" s="6">
        <f t="shared" si="12"/>
        <v>266195</v>
      </c>
      <c r="E199" s="6">
        <f t="shared" si="11"/>
        <v>252363.75</v>
      </c>
      <c r="F199" s="5"/>
      <c r="I199" s="5"/>
    </row>
    <row r="200" spans="2:9" x14ac:dyDescent="0.25">
      <c r="B200" s="5">
        <v>38899</v>
      </c>
      <c r="C200" s="6">
        <v>92957</v>
      </c>
      <c r="D200" s="6">
        <f t="shared" si="12"/>
        <v>270699</v>
      </c>
      <c r="E200" s="6">
        <f t="shared" si="11"/>
        <v>256623.5</v>
      </c>
      <c r="F200" s="5"/>
      <c r="I200" s="5"/>
    </row>
    <row r="201" spans="2:9" x14ac:dyDescent="0.25">
      <c r="B201" s="5">
        <v>38930</v>
      </c>
      <c r="C201" s="6">
        <v>96875</v>
      </c>
      <c r="D201" s="6">
        <f t="shared" si="12"/>
        <v>276394</v>
      </c>
      <c r="E201" s="6">
        <f t="shared" si="11"/>
        <v>261227.25</v>
      </c>
      <c r="F201" s="5"/>
      <c r="I201" s="5"/>
    </row>
    <row r="202" spans="2:9" x14ac:dyDescent="0.25">
      <c r="B202" s="5">
        <v>38961</v>
      </c>
      <c r="C202" s="6">
        <v>94807</v>
      </c>
      <c r="D202" s="6">
        <f t="shared" si="12"/>
        <v>284639</v>
      </c>
      <c r="E202" s="6">
        <f t="shared" si="11"/>
        <v>264983.25</v>
      </c>
      <c r="F202" s="5"/>
      <c r="I202" s="5"/>
    </row>
    <row r="203" spans="2:9" x14ac:dyDescent="0.25">
      <c r="B203" s="5">
        <v>38991</v>
      </c>
      <c r="C203" s="6">
        <v>101962</v>
      </c>
      <c r="D203" s="6">
        <f t="shared" si="12"/>
        <v>293644</v>
      </c>
      <c r="E203" s="6">
        <f t="shared" si="11"/>
        <v>269249.5</v>
      </c>
      <c r="F203" s="5"/>
      <c r="I203" s="5"/>
    </row>
    <row r="204" spans="2:9" x14ac:dyDescent="0.25">
      <c r="B204" s="5">
        <v>39022</v>
      </c>
      <c r="C204" s="6">
        <v>102372</v>
      </c>
      <c r="D204" s="6">
        <f t="shared" si="12"/>
        <v>299141</v>
      </c>
      <c r="E204" s="6">
        <f t="shared" si="11"/>
        <v>272772.5</v>
      </c>
      <c r="F204" s="5"/>
      <c r="I204" s="5"/>
    </row>
    <row r="205" spans="2:9" x14ac:dyDescent="0.25">
      <c r="B205" s="5">
        <v>39052</v>
      </c>
      <c r="C205" s="6">
        <v>100073</v>
      </c>
      <c r="D205" s="6">
        <f t="shared" si="12"/>
        <v>304407</v>
      </c>
      <c r="E205" s="6">
        <f t="shared" si="11"/>
        <v>276783</v>
      </c>
      <c r="F205" s="5"/>
      <c r="I205" s="5"/>
    </row>
    <row r="206" spans="2:9" x14ac:dyDescent="0.25">
      <c r="B206" s="5">
        <v>39083</v>
      </c>
      <c r="C206" s="6">
        <v>96483</v>
      </c>
      <c r="D206" s="6">
        <f t="shared" si="12"/>
        <v>298928</v>
      </c>
      <c r="E206" s="6">
        <f t="shared" ref="E206:E269" si="13">SUM(C195:C206)/4</f>
        <v>281008.75</v>
      </c>
      <c r="F206" s="5"/>
      <c r="I206" s="5"/>
    </row>
    <row r="207" spans="2:9" x14ac:dyDescent="0.25">
      <c r="B207" s="5">
        <v>39114</v>
      </c>
      <c r="C207" s="6">
        <v>95919</v>
      </c>
      <c r="D207" s="6">
        <f t="shared" si="12"/>
        <v>292475</v>
      </c>
      <c r="E207" s="6">
        <f t="shared" si="13"/>
        <v>284583.5</v>
      </c>
      <c r="F207" s="5"/>
      <c r="I207" s="5"/>
    </row>
    <row r="208" spans="2:9" x14ac:dyDescent="0.25">
      <c r="B208" s="5">
        <v>39142</v>
      </c>
      <c r="C208" s="6">
        <v>106528</v>
      </c>
      <c r="D208" s="6">
        <f t="shared" si="12"/>
        <v>298930</v>
      </c>
      <c r="E208" s="6">
        <f t="shared" si="13"/>
        <v>288542.75</v>
      </c>
      <c r="F208" s="5"/>
      <c r="I208" s="5"/>
    </row>
    <row r="209" spans="2:9" x14ac:dyDescent="0.25">
      <c r="B209" s="5">
        <v>39173</v>
      </c>
      <c r="C209" s="6">
        <v>107315</v>
      </c>
      <c r="D209" s="6">
        <f t="shared" si="12"/>
        <v>309762</v>
      </c>
      <c r="E209" s="6">
        <f t="shared" si="13"/>
        <v>293258.25</v>
      </c>
      <c r="F209" s="5"/>
      <c r="I209" s="5"/>
    </row>
    <row r="210" spans="2:9" x14ac:dyDescent="0.25">
      <c r="B210" s="5">
        <v>39203</v>
      </c>
      <c r="C210" s="6">
        <v>114273</v>
      </c>
      <c r="D210" s="6">
        <f t="shared" si="12"/>
        <v>328116</v>
      </c>
      <c r="E210" s="6">
        <f t="shared" si="13"/>
        <v>299031.5</v>
      </c>
      <c r="F210" s="5"/>
      <c r="I210" s="5"/>
    </row>
    <row r="211" spans="2:9" x14ac:dyDescent="0.25">
      <c r="B211" s="5">
        <v>39234</v>
      </c>
      <c r="C211" s="6">
        <v>115387</v>
      </c>
      <c r="D211" s="6">
        <f t="shared" si="12"/>
        <v>336975</v>
      </c>
      <c r="E211" s="6">
        <f t="shared" si="13"/>
        <v>306237.75</v>
      </c>
      <c r="F211" s="5"/>
      <c r="I211" s="5"/>
    </row>
    <row r="212" spans="2:9" x14ac:dyDescent="0.25">
      <c r="B212" s="5">
        <v>39264</v>
      </c>
      <c r="C212" s="6">
        <v>121839</v>
      </c>
      <c r="D212" s="6">
        <f t="shared" si="12"/>
        <v>351499</v>
      </c>
      <c r="E212" s="6">
        <f t="shared" si="13"/>
        <v>313458.25</v>
      </c>
      <c r="F212" s="5"/>
      <c r="I212" s="5"/>
    </row>
    <row r="213" spans="2:9" x14ac:dyDescent="0.25">
      <c r="B213" s="5">
        <v>39295</v>
      </c>
      <c r="C213" s="6">
        <v>118078</v>
      </c>
      <c r="D213" s="6">
        <f t="shared" si="12"/>
        <v>355304</v>
      </c>
      <c r="E213" s="6">
        <f t="shared" si="13"/>
        <v>318759</v>
      </c>
      <c r="F213" s="5"/>
      <c r="I213" s="5"/>
    </row>
    <row r="214" spans="2:9" x14ac:dyDescent="0.25">
      <c r="B214" s="5">
        <v>39326</v>
      </c>
      <c r="C214" s="6">
        <v>118494</v>
      </c>
      <c r="D214" s="6">
        <f t="shared" si="12"/>
        <v>358411</v>
      </c>
      <c r="E214" s="6">
        <f t="shared" si="13"/>
        <v>324680.75</v>
      </c>
      <c r="F214" s="5"/>
      <c r="I214" s="5"/>
    </row>
    <row r="215" spans="2:9" x14ac:dyDescent="0.25">
      <c r="B215" s="5">
        <v>39356</v>
      </c>
      <c r="C215" s="6">
        <v>135121</v>
      </c>
      <c r="D215" s="6">
        <f t="shared" si="12"/>
        <v>371693</v>
      </c>
      <c r="E215" s="6">
        <f t="shared" si="13"/>
        <v>332970.5</v>
      </c>
      <c r="F215" s="5"/>
      <c r="I215" s="5"/>
    </row>
    <row r="216" spans="2:9" x14ac:dyDescent="0.25">
      <c r="B216" s="5">
        <v>39387</v>
      </c>
      <c r="C216" s="6">
        <v>135997</v>
      </c>
      <c r="D216" s="6">
        <f t="shared" si="12"/>
        <v>389612</v>
      </c>
      <c r="E216" s="6">
        <f t="shared" si="13"/>
        <v>341376.75</v>
      </c>
      <c r="F216" s="5"/>
      <c r="I216" s="5"/>
    </row>
    <row r="217" spans="2:9" x14ac:dyDescent="0.25">
      <c r="B217" s="5">
        <v>39417</v>
      </c>
      <c r="C217" s="6">
        <v>131363</v>
      </c>
      <c r="D217" s="6">
        <f t="shared" si="12"/>
        <v>402481</v>
      </c>
      <c r="E217" s="6">
        <f t="shared" si="13"/>
        <v>349199.25</v>
      </c>
      <c r="F217" s="5"/>
      <c r="I217" s="5"/>
    </row>
    <row r="218" spans="2:9" x14ac:dyDescent="0.25">
      <c r="B218" s="5">
        <v>39448</v>
      </c>
      <c r="C218" s="6">
        <v>129542</v>
      </c>
      <c r="D218" s="6">
        <f t="shared" si="12"/>
        <v>396902</v>
      </c>
      <c r="E218" s="6">
        <f t="shared" si="13"/>
        <v>357464</v>
      </c>
      <c r="F218" s="5"/>
      <c r="I218" s="5"/>
    </row>
    <row r="219" spans="2:9" x14ac:dyDescent="0.25">
      <c r="B219" s="5">
        <v>39479</v>
      </c>
      <c r="C219" s="6">
        <v>132413</v>
      </c>
      <c r="D219" s="6">
        <f t="shared" si="12"/>
        <v>393318</v>
      </c>
      <c r="E219" s="6">
        <f t="shared" si="13"/>
        <v>366587.5</v>
      </c>
      <c r="F219" s="5"/>
      <c r="I219" s="5"/>
    </row>
    <row r="220" spans="2:9" x14ac:dyDescent="0.25">
      <c r="B220" s="5">
        <v>39508</v>
      </c>
      <c r="C220" s="6">
        <v>142643</v>
      </c>
      <c r="D220" s="6">
        <f t="shared" si="12"/>
        <v>404598</v>
      </c>
      <c r="E220" s="6">
        <f t="shared" si="13"/>
        <v>375616.25</v>
      </c>
      <c r="F220" s="5"/>
      <c r="I220" s="5"/>
    </row>
    <row r="221" spans="2:9" x14ac:dyDescent="0.25">
      <c r="B221" s="5">
        <v>39539</v>
      </c>
      <c r="C221" s="6">
        <v>147551</v>
      </c>
      <c r="D221" s="6">
        <f t="shared" si="12"/>
        <v>422607</v>
      </c>
      <c r="E221" s="6">
        <f t="shared" si="13"/>
        <v>385675.25</v>
      </c>
      <c r="F221" s="5"/>
      <c r="I221" s="5"/>
    </row>
    <row r="222" spans="2:9" x14ac:dyDescent="0.25">
      <c r="B222" s="5">
        <v>39569</v>
      </c>
      <c r="C222" s="6">
        <v>151457</v>
      </c>
      <c r="D222" s="6">
        <f t="shared" si="12"/>
        <v>441651</v>
      </c>
      <c r="E222" s="6">
        <f t="shared" si="13"/>
        <v>394971.25</v>
      </c>
      <c r="F222" s="5"/>
      <c r="I222" s="5"/>
    </row>
    <row r="223" spans="2:9" x14ac:dyDescent="0.25">
      <c r="B223" s="5">
        <v>39600</v>
      </c>
      <c r="C223" s="6">
        <v>158161</v>
      </c>
      <c r="D223" s="6">
        <f t="shared" si="12"/>
        <v>457169</v>
      </c>
      <c r="E223" s="6">
        <f t="shared" si="13"/>
        <v>405664.75</v>
      </c>
      <c r="F223" s="5"/>
      <c r="I223" s="5"/>
    </row>
    <row r="224" spans="2:9" x14ac:dyDescent="0.25">
      <c r="B224" s="5">
        <v>39630</v>
      </c>
      <c r="C224" s="6">
        <v>167386</v>
      </c>
      <c r="D224" s="6">
        <f t="shared" si="12"/>
        <v>477004</v>
      </c>
      <c r="E224" s="6">
        <f t="shared" si="13"/>
        <v>417051.5</v>
      </c>
      <c r="F224" s="5"/>
      <c r="I224" s="5"/>
    </row>
    <row r="225" spans="2:9" x14ac:dyDescent="0.25">
      <c r="B225" s="5">
        <v>39661</v>
      </c>
      <c r="C225" s="6">
        <v>163440</v>
      </c>
      <c r="D225" s="6">
        <f t="shared" si="12"/>
        <v>488987</v>
      </c>
      <c r="E225" s="6">
        <f t="shared" si="13"/>
        <v>428392</v>
      </c>
      <c r="F225" s="5"/>
      <c r="I225" s="5"/>
    </row>
    <row r="226" spans="2:9" x14ac:dyDescent="0.25">
      <c r="B226" s="5">
        <v>39692</v>
      </c>
      <c r="C226" s="6">
        <v>148640</v>
      </c>
      <c r="D226" s="6">
        <f t="shared" si="12"/>
        <v>479466</v>
      </c>
      <c r="E226" s="6">
        <f t="shared" si="13"/>
        <v>435928.5</v>
      </c>
      <c r="F226" s="5"/>
      <c r="I226" s="5"/>
    </row>
    <row r="227" spans="2:9" x14ac:dyDescent="0.25">
      <c r="B227" s="5">
        <v>39722</v>
      </c>
      <c r="C227" s="6">
        <v>128515</v>
      </c>
      <c r="D227" s="6">
        <f t="shared" si="12"/>
        <v>440595</v>
      </c>
      <c r="E227" s="6">
        <f t="shared" si="13"/>
        <v>434277</v>
      </c>
      <c r="F227" s="5"/>
      <c r="I227" s="5"/>
    </row>
    <row r="228" spans="2:9" x14ac:dyDescent="0.25">
      <c r="B228" s="5">
        <v>39753</v>
      </c>
      <c r="C228" s="6">
        <v>117635</v>
      </c>
      <c r="D228" s="6">
        <f t="shared" si="12"/>
        <v>394790</v>
      </c>
      <c r="E228" s="6">
        <f t="shared" si="13"/>
        <v>429686.5</v>
      </c>
      <c r="F228" s="5"/>
      <c r="I228" s="5"/>
    </row>
    <row r="229" spans="2:9" x14ac:dyDescent="0.25">
      <c r="B229" s="5">
        <v>39783</v>
      </c>
      <c r="C229" s="6">
        <v>105764</v>
      </c>
      <c r="D229" s="6">
        <f t="shared" si="12"/>
        <v>351914</v>
      </c>
      <c r="E229" s="6">
        <f t="shared" si="13"/>
        <v>423286.75</v>
      </c>
      <c r="F229" s="5"/>
      <c r="I229" s="5"/>
    </row>
    <row r="230" spans="2:9" x14ac:dyDescent="0.25">
      <c r="B230" s="5">
        <v>39814</v>
      </c>
      <c r="C230" s="6">
        <v>103864</v>
      </c>
      <c r="D230" s="6">
        <f t="shared" si="12"/>
        <v>327263</v>
      </c>
      <c r="E230" s="6">
        <f t="shared" si="13"/>
        <v>416867.25</v>
      </c>
      <c r="F230" s="5"/>
      <c r="I230" s="5"/>
    </row>
    <row r="231" spans="2:9" x14ac:dyDescent="0.25">
      <c r="B231" s="5">
        <v>39845</v>
      </c>
      <c r="C231" s="6">
        <v>102644</v>
      </c>
      <c r="D231" s="6">
        <f t="shared" si="12"/>
        <v>312272</v>
      </c>
      <c r="E231" s="6">
        <f t="shared" si="13"/>
        <v>409425</v>
      </c>
      <c r="F231" s="5"/>
      <c r="I231" s="5"/>
    </row>
    <row r="232" spans="2:9" x14ac:dyDescent="0.25">
      <c r="B232" s="5">
        <v>39873</v>
      </c>
      <c r="C232" s="6">
        <v>113746</v>
      </c>
      <c r="D232" s="6">
        <f t="shared" si="12"/>
        <v>320254</v>
      </c>
      <c r="E232" s="6">
        <f t="shared" si="13"/>
        <v>402200.75</v>
      </c>
      <c r="F232" s="5"/>
      <c r="I232" s="5"/>
    </row>
    <row r="233" spans="2:9" x14ac:dyDescent="0.25">
      <c r="B233" s="5">
        <v>39904</v>
      </c>
      <c r="C233" s="6">
        <v>116935</v>
      </c>
      <c r="D233" s="6">
        <f t="shared" si="12"/>
        <v>333325</v>
      </c>
      <c r="E233" s="6">
        <f t="shared" si="13"/>
        <v>394546.75</v>
      </c>
      <c r="F233" s="5"/>
      <c r="I233" s="5"/>
    </row>
    <row r="234" spans="2:9" x14ac:dyDescent="0.25">
      <c r="B234" s="5">
        <v>39934</v>
      </c>
      <c r="C234" s="6">
        <v>127734</v>
      </c>
      <c r="D234" s="6">
        <f t="shared" si="12"/>
        <v>358415</v>
      </c>
      <c r="E234" s="6">
        <f t="shared" si="13"/>
        <v>388616</v>
      </c>
      <c r="F234" s="5"/>
      <c r="I234" s="5"/>
    </row>
    <row r="235" spans="2:9" x14ac:dyDescent="0.25">
      <c r="B235" s="5">
        <v>39965</v>
      </c>
      <c r="C235" s="6">
        <v>135896</v>
      </c>
      <c r="D235" s="6">
        <f t="shared" si="12"/>
        <v>380565</v>
      </c>
      <c r="E235" s="6">
        <f t="shared" si="13"/>
        <v>383049.75</v>
      </c>
      <c r="F235" s="5"/>
      <c r="I235" s="5"/>
    </row>
    <row r="236" spans="2:9" x14ac:dyDescent="0.25">
      <c r="B236" s="5">
        <v>39995</v>
      </c>
      <c r="C236" s="6">
        <v>142852</v>
      </c>
      <c r="D236" s="6">
        <f t="shared" si="12"/>
        <v>406482</v>
      </c>
      <c r="E236" s="6">
        <f t="shared" si="13"/>
        <v>376916.25</v>
      </c>
      <c r="F236" s="5"/>
      <c r="I236" s="5"/>
    </row>
    <row r="237" spans="2:9" x14ac:dyDescent="0.25">
      <c r="B237" s="5">
        <v>40026</v>
      </c>
      <c r="C237" s="6">
        <v>150357</v>
      </c>
      <c r="D237" s="6">
        <f t="shared" si="12"/>
        <v>429105</v>
      </c>
      <c r="E237" s="6">
        <f t="shared" si="13"/>
        <v>373645.5</v>
      </c>
      <c r="F237" s="5"/>
      <c r="I237" s="5"/>
    </row>
    <row r="238" spans="2:9" x14ac:dyDescent="0.25">
      <c r="B238" s="5">
        <v>40057</v>
      </c>
      <c r="C238" s="6">
        <v>156088</v>
      </c>
      <c r="D238" s="6">
        <f t="shared" si="12"/>
        <v>449297</v>
      </c>
      <c r="E238" s="6">
        <f t="shared" si="13"/>
        <v>375507.5</v>
      </c>
      <c r="F238" s="5"/>
      <c r="I238" s="5"/>
    </row>
    <row r="239" spans="2:9" x14ac:dyDescent="0.25">
      <c r="B239" s="5">
        <v>40087</v>
      </c>
      <c r="C239" s="6">
        <v>175131</v>
      </c>
      <c r="D239" s="6">
        <f t="shared" si="12"/>
        <v>481576</v>
      </c>
      <c r="E239" s="6">
        <f t="shared" si="13"/>
        <v>387161.5</v>
      </c>
      <c r="F239" s="5"/>
      <c r="I239" s="5"/>
    </row>
    <row r="240" spans="2:9" x14ac:dyDescent="0.25">
      <c r="B240" s="5">
        <v>40118</v>
      </c>
      <c r="C240" s="6">
        <v>176002</v>
      </c>
      <c r="D240" s="6">
        <f t="shared" si="12"/>
        <v>507221</v>
      </c>
      <c r="E240" s="6">
        <f t="shared" si="13"/>
        <v>401753.25</v>
      </c>
      <c r="F240" s="5"/>
      <c r="I240" s="5"/>
    </row>
    <row r="241" spans="2:9" x14ac:dyDescent="0.25">
      <c r="B241" s="5">
        <v>40148</v>
      </c>
      <c r="C241" s="6">
        <v>171375</v>
      </c>
      <c r="D241" s="6">
        <f t="shared" si="12"/>
        <v>522508</v>
      </c>
      <c r="E241" s="6">
        <f t="shared" si="13"/>
        <v>418156</v>
      </c>
      <c r="F241" s="5"/>
      <c r="I241" s="5"/>
    </row>
    <row r="242" spans="2:9" x14ac:dyDescent="0.25">
      <c r="B242" s="5">
        <v>40179</v>
      </c>
      <c r="C242" s="6">
        <v>158338</v>
      </c>
      <c r="D242" s="6">
        <f t="shared" si="12"/>
        <v>505715</v>
      </c>
      <c r="E242" s="6">
        <f t="shared" si="13"/>
        <v>431774.5</v>
      </c>
      <c r="F242" s="5"/>
      <c r="I242" s="5"/>
    </row>
    <row r="243" spans="2:9" x14ac:dyDescent="0.25">
      <c r="B243" s="5">
        <v>40210</v>
      </c>
      <c r="C243" s="6">
        <v>152790</v>
      </c>
      <c r="D243" s="6">
        <f t="shared" si="12"/>
        <v>482503</v>
      </c>
      <c r="E243" s="6">
        <f t="shared" si="13"/>
        <v>444311</v>
      </c>
      <c r="F243" s="5"/>
      <c r="I243" s="5"/>
    </row>
    <row r="244" spans="2:9" x14ac:dyDescent="0.25">
      <c r="B244" s="5">
        <v>40238</v>
      </c>
      <c r="C244" s="6">
        <v>177535</v>
      </c>
      <c r="D244" s="6">
        <f t="shared" si="12"/>
        <v>488663</v>
      </c>
      <c r="E244" s="6">
        <f t="shared" si="13"/>
        <v>460258.25</v>
      </c>
      <c r="F244" s="5"/>
      <c r="I244" s="5"/>
    </row>
    <row r="245" spans="2:9" x14ac:dyDescent="0.25">
      <c r="B245" s="5">
        <v>40269</v>
      </c>
      <c r="C245" s="6">
        <v>176815</v>
      </c>
      <c r="D245" s="6">
        <f t="shared" si="12"/>
        <v>507140</v>
      </c>
      <c r="E245" s="6">
        <f t="shared" si="13"/>
        <v>475228.25</v>
      </c>
      <c r="F245" s="5"/>
      <c r="I245" s="5"/>
    </row>
    <row r="246" spans="2:9" x14ac:dyDescent="0.25">
      <c r="B246" s="5">
        <v>40299</v>
      </c>
      <c r="C246" s="6">
        <v>173905</v>
      </c>
      <c r="D246" s="6">
        <f t="shared" si="12"/>
        <v>528255</v>
      </c>
      <c r="E246" s="6">
        <f t="shared" si="13"/>
        <v>486771</v>
      </c>
      <c r="F246" s="5"/>
      <c r="I246" s="5"/>
    </row>
    <row r="247" spans="2:9" x14ac:dyDescent="0.25">
      <c r="B247" s="5">
        <v>40330</v>
      </c>
      <c r="C247" s="6">
        <v>175094</v>
      </c>
      <c r="D247" s="6">
        <f t="shared" si="12"/>
        <v>525814</v>
      </c>
      <c r="E247" s="6">
        <f t="shared" si="13"/>
        <v>496570.5</v>
      </c>
      <c r="F247" s="5"/>
      <c r="I247" s="5"/>
    </row>
    <row r="248" spans="2:9" x14ac:dyDescent="0.25">
      <c r="B248" s="5">
        <v>40360</v>
      </c>
      <c r="C248" s="6">
        <v>185898</v>
      </c>
      <c r="D248" s="6">
        <f t="shared" si="12"/>
        <v>534897</v>
      </c>
      <c r="E248" s="6">
        <f t="shared" si="13"/>
        <v>507332</v>
      </c>
      <c r="F248" s="5"/>
      <c r="I248" s="5"/>
    </row>
    <row r="249" spans="2:9" x14ac:dyDescent="0.25">
      <c r="B249" s="5">
        <v>40391</v>
      </c>
      <c r="C249" s="6">
        <v>189074</v>
      </c>
      <c r="D249" s="6">
        <f t="shared" si="12"/>
        <v>550066</v>
      </c>
      <c r="E249" s="6">
        <f t="shared" si="13"/>
        <v>517011.25</v>
      </c>
      <c r="F249" s="5"/>
      <c r="I249" s="5"/>
    </row>
    <row r="250" spans="2:9" x14ac:dyDescent="0.25">
      <c r="B250" s="5">
        <v>40422</v>
      </c>
      <c r="C250" s="6">
        <v>196168</v>
      </c>
      <c r="D250" s="6">
        <f t="shared" si="12"/>
        <v>571140</v>
      </c>
      <c r="E250" s="6">
        <f t="shared" si="13"/>
        <v>527031.25</v>
      </c>
      <c r="F250" s="5"/>
      <c r="I250" s="5"/>
    </row>
    <row r="251" spans="2:9" x14ac:dyDescent="0.25">
      <c r="B251" s="5">
        <v>40452</v>
      </c>
      <c r="C251" s="6">
        <v>208810</v>
      </c>
      <c r="D251" s="6">
        <f t="shared" si="12"/>
        <v>594052</v>
      </c>
      <c r="E251" s="6">
        <f t="shared" si="13"/>
        <v>535451</v>
      </c>
      <c r="F251" s="5"/>
      <c r="I251" s="5"/>
    </row>
    <row r="252" spans="2:9" x14ac:dyDescent="0.25">
      <c r="B252" s="5">
        <v>40483</v>
      </c>
      <c r="C252" s="6">
        <v>209548</v>
      </c>
      <c r="D252" s="6">
        <f t="shared" si="12"/>
        <v>614526</v>
      </c>
      <c r="E252" s="6">
        <f t="shared" si="13"/>
        <v>543837.5</v>
      </c>
      <c r="F252" s="5"/>
      <c r="I252" s="5"/>
    </row>
    <row r="253" spans="2:9" x14ac:dyDescent="0.25">
      <c r="B253" s="5">
        <v>40513</v>
      </c>
      <c r="C253" s="6">
        <v>205775</v>
      </c>
      <c r="D253" s="6">
        <f t="shared" si="12"/>
        <v>624133</v>
      </c>
      <c r="E253" s="6">
        <f t="shared" si="13"/>
        <v>552437.5</v>
      </c>
      <c r="F253" s="5"/>
      <c r="I253" s="5"/>
    </row>
    <row r="254" spans="2:9" x14ac:dyDescent="0.25">
      <c r="B254" s="5">
        <v>40544</v>
      </c>
      <c r="C254" s="6">
        <v>195734</v>
      </c>
      <c r="D254" s="6">
        <f t="shared" si="12"/>
        <v>611057</v>
      </c>
      <c r="E254" s="6">
        <f t="shared" si="13"/>
        <v>561786.5</v>
      </c>
      <c r="F254" s="5"/>
      <c r="I254" s="5"/>
    </row>
    <row r="255" spans="2:9" x14ac:dyDescent="0.25">
      <c r="B255" s="5">
        <v>40575</v>
      </c>
      <c r="C255" s="6">
        <v>199273</v>
      </c>
      <c r="D255" s="6">
        <f t="shared" si="12"/>
        <v>600782</v>
      </c>
      <c r="E255" s="6">
        <f t="shared" si="13"/>
        <v>573407.25</v>
      </c>
      <c r="F255" s="5"/>
      <c r="I255" s="5"/>
    </row>
    <row r="256" spans="2:9" x14ac:dyDescent="0.25">
      <c r="B256" s="5">
        <v>40603</v>
      </c>
      <c r="C256" s="6">
        <v>214896</v>
      </c>
      <c r="D256" s="6">
        <f t="shared" si="12"/>
        <v>609903</v>
      </c>
      <c r="E256" s="6">
        <f t="shared" si="13"/>
        <v>582747.5</v>
      </c>
      <c r="F256" s="5"/>
      <c r="I256" s="5"/>
    </row>
    <row r="257" spans="2:9" x14ac:dyDescent="0.25">
      <c r="B257" s="5">
        <v>40634</v>
      </c>
      <c r="C257" s="6">
        <v>223390</v>
      </c>
      <c r="D257" s="6">
        <f t="shared" si="12"/>
        <v>637559</v>
      </c>
      <c r="E257" s="6">
        <f t="shared" si="13"/>
        <v>594391.25</v>
      </c>
      <c r="F257" s="5"/>
      <c r="I257" s="5"/>
    </row>
    <row r="258" spans="2:9" x14ac:dyDescent="0.25">
      <c r="B258" s="5">
        <v>40664</v>
      </c>
      <c r="C258" s="6">
        <v>228031</v>
      </c>
      <c r="D258" s="6">
        <f t="shared" si="12"/>
        <v>666317</v>
      </c>
      <c r="E258" s="6">
        <f t="shared" si="13"/>
        <v>607922.75</v>
      </c>
      <c r="F258" s="5"/>
      <c r="I258" s="5"/>
    </row>
    <row r="259" spans="2:9" x14ac:dyDescent="0.25">
      <c r="B259" s="5">
        <v>40695</v>
      </c>
      <c r="C259" s="6">
        <v>228974</v>
      </c>
      <c r="D259" s="6">
        <f t="shared" si="12"/>
        <v>680395</v>
      </c>
      <c r="E259" s="6">
        <f t="shared" si="13"/>
        <v>621392.75</v>
      </c>
      <c r="F259" s="5"/>
      <c r="I259" s="5"/>
    </row>
    <row r="260" spans="2:9" x14ac:dyDescent="0.25">
      <c r="B260" s="5">
        <v>40725</v>
      </c>
      <c r="C260" s="6">
        <v>234562</v>
      </c>
      <c r="D260" s="6">
        <f t="shared" si="12"/>
        <v>691567</v>
      </c>
      <c r="E260" s="6">
        <f t="shared" si="13"/>
        <v>633558.75</v>
      </c>
      <c r="F260" s="5"/>
      <c r="I260" s="5"/>
    </row>
    <row r="261" spans="2:9" x14ac:dyDescent="0.25">
      <c r="B261" s="5">
        <v>40756</v>
      </c>
      <c r="C261" s="6">
        <v>234381</v>
      </c>
      <c r="D261" s="6">
        <f t="shared" si="12"/>
        <v>697917</v>
      </c>
      <c r="E261" s="6">
        <f t="shared" si="13"/>
        <v>644885.5</v>
      </c>
      <c r="F261" s="5"/>
      <c r="I261" s="5"/>
    </row>
    <row r="262" spans="2:9" x14ac:dyDescent="0.25">
      <c r="B262" s="5">
        <v>40787</v>
      </c>
      <c r="C262" s="6">
        <v>211184</v>
      </c>
      <c r="D262" s="6">
        <f t="shared" ref="D262:D325" si="14">SUM(C260:C262)</f>
        <v>680127</v>
      </c>
      <c r="E262" s="6">
        <f t="shared" si="13"/>
        <v>648639.5</v>
      </c>
      <c r="F262" s="5"/>
      <c r="I262" s="5"/>
    </row>
    <row r="263" spans="2:9" x14ac:dyDescent="0.25">
      <c r="B263" s="5">
        <v>40817</v>
      </c>
      <c r="C263" s="6">
        <v>216147</v>
      </c>
      <c r="D263" s="6">
        <f t="shared" si="14"/>
        <v>661712</v>
      </c>
      <c r="E263" s="6">
        <f t="shared" si="13"/>
        <v>650473.75</v>
      </c>
    </row>
    <row r="264" spans="2:9" x14ac:dyDescent="0.25">
      <c r="B264" s="5">
        <v>40848</v>
      </c>
      <c r="C264" s="6">
        <v>218338</v>
      </c>
      <c r="D264" s="6">
        <f t="shared" si="14"/>
        <v>645669</v>
      </c>
      <c r="E264" s="6">
        <f t="shared" si="13"/>
        <v>652671.25</v>
      </c>
    </row>
    <row r="265" spans="2:9" x14ac:dyDescent="0.25">
      <c r="B265" s="5">
        <v>40878</v>
      </c>
      <c r="C265" s="6">
        <v>209574</v>
      </c>
      <c r="D265" s="6">
        <f t="shared" si="14"/>
        <v>644059</v>
      </c>
      <c r="E265" s="6">
        <f t="shared" si="13"/>
        <v>653621</v>
      </c>
    </row>
    <row r="266" spans="2:9" x14ac:dyDescent="0.25">
      <c r="B266" s="5">
        <v>40909</v>
      </c>
      <c r="C266" s="6">
        <v>203258</v>
      </c>
      <c r="D266" s="6">
        <f t="shared" si="14"/>
        <v>631170</v>
      </c>
      <c r="E266" s="6">
        <f t="shared" si="13"/>
        <v>655502</v>
      </c>
    </row>
    <row r="267" spans="2:9" x14ac:dyDescent="0.25">
      <c r="B267" s="5">
        <v>40940</v>
      </c>
      <c r="C267" s="6">
        <v>213660</v>
      </c>
      <c r="D267" s="6">
        <f t="shared" si="14"/>
        <v>626492</v>
      </c>
      <c r="E267" s="6">
        <f t="shared" si="13"/>
        <v>659098.75</v>
      </c>
    </row>
    <row r="268" spans="2:9" x14ac:dyDescent="0.25">
      <c r="B268" s="5">
        <v>40969</v>
      </c>
      <c r="C268" s="6">
        <v>221353</v>
      </c>
      <c r="D268" s="6">
        <f t="shared" si="14"/>
        <v>638271</v>
      </c>
      <c r="E268" s="6">
        <f t="shared" si="13"/>
        <v>660713</v>
      </c>
    </row>
    <row r="269" spans="2:9" x14ac:dyDescent="0.25">
      <c r="B269" s="5">
        <v>41000</v>
      </c>
      <c r="C269" s="6">
        <v>207866</v>
      </c>
      <c r="D269" s="6">
        <f t="shared" si="14"/>
        <v>642879</v>
      </c>
      <c r="E269" s="6">
        <f t="shared" si="13"/>
        <v>656832</v>
      </c>
    </row>
    <row r="270" spans="2:9" x14ac:dyDescent="0.25">
      <c r="B270" s="5">
        <v>41030</v>
      </c>
      <c r="C270" s="6">
        <v>202170</v>
      </c>
      <c r="D270" s="6">
        <f t="shared" si="14"/>
        <v>631389</v>
      </c>
      <c r="E270" s="6">
        <f t="shared" ref="E270:E333" si="15">SUM(C259:C270)/4</f>
        <v>650366.75</v>
      </c>
    </row>
    <row r="271" spans="2:9" x14ac:dyDescent="0.25">
      <c r="B271" s="5">
        <v>41061</v>
      </c>
      <c r="C271" s="6">
        <v>192762</v>
      </c>
      <c r="D271" s="6">
        <f t="shared" si="14"/>
        <v>602798</v>
      </c>
      <c r="E271" s="6">
        <f t="shared" si="15"/>
        <v>641313.75</v>
      </c>
    </row>
    <row r="272" spans="2:9" x14ac:dyDescent="0.25">
      <c r="B272" s="5">
        <v>41091</v>
      </c>
      <c r="C272" s="6">
        <v>201401</v>
      </c>
      <c r="D272" s="6">
        <f t="shared" si="14"/>
        <v>596333</v>
      </c>
      <c r="E272" s="6">
        <f t="shared" si="15"/>
        <v>633023.5</v>
      </c>
    </row>
    <row r="273" spans="2:5" x14ac:dyDescent="0.25">
      <c r="B273" s="5">
        <v>41122</v>
      </c>
      <c r="C273" s="6">
        <v>206089</v>
      </c>
      <c r="D273" s="6">
        <f t="shared" si="14"/>
        <v>600252</v>
      </c>
      <c r="E273" s="6">
        <f t="shared" si="15"/>
        <v>625950.5</v>
      </c>
    </row>
    <row r="274" spans="2:5" x14ac:dyDescent="0.25">
      <c r="B274" s="5">
        <v>41153</v>
      </c>
      <c r="C274" s="6">
        <v>198270</v>
      </c>
      <c r="D274" s="6">
        <f t="shared" si="14"/>
        <v>605760</v>
      </c>
      <c r="E274" s="6">
        <f t="shared" si="15"/>
        <v>622722</v>
      </c>
    </row>
    <row r="275" spans="2:5" x14ac:dyDescent="0.25">
      <c r="B275" s="5">
        <v>41183</v>
      </c>
      <c r="C275" s="6">
        <v>212173</v>
      </c>
      <c r="D275" s="6">
        <f t="shared" si="14"/>
        <v>616532</v>
      </c>
      <c r="E275" s="6">
        <f t="shared" si="15"/>
        <v>621728.5</v>
      </c>
    </row>
    <row r="276" spans="2:5" x14ac:dyDescent="0.25">
      <c r="B276" s="5">
        <v>41214</v>
      </c>
      <c r="C276" s="6">
        <v>205908</v>
      </c>
      <c r="D276" s="6">
        <f t="shared" si="14"/>
        <v>616351</v>
      </c>
      <c r="E276" s="6">
        <f t="shared" si="15"/>
        <v>618621</v>
      </c>
    </row>
    <row r="277" spans="2:5" x14ac:dyDescent="0.25">
      <c r="B277" s="5">
        <v>41244</v>
      </c>
      <c r="C277" s="6">
        <v>198638</v>
      </c>
      <c r="D277" s="6">
        <f t="shared" si="14"/>
        <v>616719</v>
      </c>
      <c r="E277" s="6">
        <f t="shared" si="15"/>
        <v>615887</v>
      </c>
    </row>
    <row r="278" spans="2:5" x14ac:dyDescent="0.25">
      <c r="B278" s="5">
        <v>41275</v>
      </c>
      <c r="C278" s="6">
        <v>200764</v>
      </c>
      <c r="D278" s="6">
        <f t="shared" si="14"/>
        <v>605310</v>
      </c>
      <c r="E278" s="6">
        <f t="shared" si="15"/>
        <v>615263.5</v>
      </c>
    </row>
    <row r="279" spans="2:5" x14ac:dyDescent="0.25">
      <c r="B279" s="5">
        <v>41306</v>
      </c>
      <c r="C279" s="6">
        <v>201118</v>
      </c>
      <c r="D279" s="6">
        <f t="shared" si="14"/>
        <v>600520</v>
      </c>
      <c r="E279" s="6">
        <f t="shared" si="15"/>
        <v>612128</v>
      </c>
    </row>
    <row r="280" spans="2:5" x14ac:dyDescent="0.25">
      <c r="B280" s="5">
        <v>41334</v>
      </c>
      <c r="C280" s="6">
        <v>218464</v>
      </c>
      <c r="D280" s="6">
        <f t="shared" si="14"/>
        <v>620346</v>
      </c>
      <c r="E280" s="6">
        <f t="shared" si="15"/>
        <v>611405.75</v>
      </c>
    </row>
    <row r="281" spans="2:5" x14ac:dyDescent="0.25">
      <c r="B281" s="5">
        <v>41365</v>
      </c>
      <c r="C281" s="6">
        <v>222238</v>
      </c>
      <c r="D281" s="6">
        <f t="shared" si="14"/>
        <v>641820</v>
      </c>
      <c r="E281" s="6">
        <f t="shared" si="15"/>
        <v>614998.75</v>
      </c>
    </row>
    <row r="282" spans="2:5" x14ac:dyDescent="0.25">
      <c r="B282" s="5">
        <v>41395</v>
      </c>
      <c r="C282" s="6">
        <v>216116</v>
      </c>
      <c r="D282" s="6">
        <f t="shared" si="14"/>
        <v>656818</v>
      </c>
      <c r="E282" s="6">
        <f t="shared" si="15"/>
        <v>618485.25</v>
      </c>
    </row>
    <row r="283" spans="2:5" x14ac:dyDescent="0.25">
      <c r="B283" s="5">
        <v>41426</v>
      </c>
      <c r="C283" s="6">
        <v>199374</v>
      </c>
      <c r="D283" s="6">
        <f t="shared" si="14"/>
        <v>637728</v>
      </c>
      <c r="E283" s="6">
        <f t="shared" si="15"/>
        <v>620138.25</v>
      </c>
    </row>
    <row r="284" spans="2:5" x14ac:dyDescent="0.25">
      <c r="B284" s="5">
        <v>41456</v>
      </c>
      <c r="C284" s="6">
        <v>200285</v>
      </c>
      <c r="D284" s="6">
        <f t="shared" si="14"/>
        <v>615775</v>
      </c>
      <c r="E284" s="6">
        <f t="shared" si="15"/>
        <v>619859.25</v>
      </c>
    </row>
    <row r="285" spans="2:5" x14ac:dyDescent="0.25">
      <c r="B285" s="5">
        <v>41487</v>
      </c>
      <c r="C285" s="6">
        <v>193139</v>
      </c>
      <c r="D285" s="6">
        <f t="shared" si="14"/>
        <v>592798</v>
      </c>
      <c r="E285" s="6">
        <f t="shared" si="15"/>
        <v>616621.75</v>
      </c>
    </row>
    <row r="286" spans="2:5" x14ac:dyDescent="0.25">
      <c r="B286" s="5">
        <v>41518</v>
      </c>
      <c r="C286" s="6">
        <v>196654</v>
      </c>
      <c r="D286" s="6">
        <f t="shared" si="14"/>
        <v>590078</v>
      </c>
      <c r="E286" s="6">
        <f t="shared" si="15"/>
        <v>616217.75</v>
      </c>
    </row>
    <row r="287" spans="2:5" x14ac:dyDescent="0.25">
      <c r="B287" s="5">
        <v>41548</v>
      </c>
      <c r="C287" s="6">
        <v>216836</v>
      </c>
      <c r="D287" s="6">
        <f t="shared" si="14"/>
        <v>606629</v>
      </c>
      <c r="E287" s="6">
        <f t="shared" si="15"/>
        <v>617383.5</v>
      </c>
    </row>
    <row r="288" spans="2:5" x14ac:dyDescent="0.25">
      <c r="B288" s="5">
        <v>41579</v>
      </c>
      <c r="C288" s="6">
        <v>204516</v>
      </c>
      <c r="D288" s="6">
        <f t="shared" si="14"/>
        <v>618006</v>
      </c>
      <c r="E288" s="6">
        <f t="shared" si="15"/>
        <v>617035.5</v>
      </c>
    </row>
    <row r="289" spans="2:5" x14ac:dyDescent="0.25">
      <c r="B289" s="5">
        <v>41609</v>
      </c>
      <c r="C289" s="6">
        <v>198953</v>
      </c>
      <c r="D289" s="6">
        <f t="shared" si="14"/>
        <v>620305</v>
      </c>
      <c r="E289" s="6">
        <f t="shared" si="15"/>
        <v>617114.25</v>
      </c>
    </row>
    <row r="290" spans="2:5" x14ac:dyDescent="0.25">
      <c r="B290" s="5">
        <v>41640</v>
      </c>
      <c r="C290" s="6">
        <v>190156</v>
      </c>
      <c r="D290" s="6">
        <f t="shared" si="14"/>
        <v>593625</v>
      </c>
      <c r="E290" s="6">
        <f t="shared" si="15"/>
        <v>614462.25</v>
      </c>
    </row>
    <row r="291" spans="2:5" x14ac:dyDescent="0.25">
      <c r="B291" s="5">
        <v>41671</v>
      </c>
      <c r="C291" s="6">
        <v>191060</v>
      </c>
      <c r="D291" s="6">
        <f t="shared" si="14"/>
        <v>580169</v>
      </c>
      <c r="E291" s="6">
        <f t="shared" si="15"/>
        <v>611947.75</v>
      </c>
    </row>
    <row r="292" spans="2:5" x14ac:dyDescent="0.25">
      <c r="B292" s="5">
        <v>41699</v>
      </c>
      <c r="C292" s="6">
        <v>205168</v>
      </c>
      <c r="D292" s="6">
        <f t="shared" si="14"/>
        <v>586384</v>
      </c>
      <c r="E292" s="6">
        <f t="shared" si="15"/>
        <v>608623.75</v>
      </c>
    </row>
    <row r="293" spans="2:5" x14ac:dyDescent="0.25">
      <c r="B293" s="5">
        <v>41730</v>
      </c>
      <c r="C293" s="6">
        <v>214876</v>
      </c>
      <c r="D293" s="6">
        <f t="shared" si="14"/>
        <v>611104</v>
      </c>
      <c r="E293" s="6">
        <f t="shared" si="15"/>
        <v>606783.25</v>
      </c>
    </row>
    <row r="294" spans="2:5" x14ac:dyDescent="0.25">
      <c r="B294" s="5">
        <v>41760</v>
      </c>
      <c r="C294" s="6">
        <v>216673</v>
      </c>
      <c r="D294" s="6">
        <f t="shared" si="14"/>
        <v>636717</v>
      </c>
      <c r="E294" s="6">
        <f t="shared" si="15"/>
        <v>606922.5</v>
      </c>
    </row>
    <row r="295" spans="2:5" x14ac:dyDescent="0.25">
      <c r="B295" s="5">
        <v>41791</v>
      </c>
      <c r="C295" s="6">
        <v>206236</v>
      </c>
      <c r="D295" s="6">
        <f t="shared" si="14"/>
        <v>637785</v>
      </c>
      <c r="E295" s="6">
        <f t="shared" si="15"/>
        <v>608638</v>
      </c>
    </row>
    <row r="296" spans="2:5" x14ac:dyDescent="0.25">
      <c r="B296" s="5">
        <v>41821</v>
      </c>
      <c r="C296" s="6">
        <v>218576</v>
      </c>
      <c r="D296" s="6">
        <f t="shared" si="14"/>
        <v>641485</v>
      </c>
      <c r="E296" s="6">
        <f t="shared" si="15"/>
        <v>613210.75</v>
      </c>
    </row>
    <row r="297" spans="2:5" x14ac:dyDescent="0.25">
      <c r="B297" s="5">
        <v>41852</v>
      </c>
      <c r="C297" s="6">
        <v>212817</v>
      </c>
      <c r="D297" s="6">
        <f t="shared" si="14"/>
        <v>637629</v>
      </c>
      <c r="E297" s="6">
        <f t="shared" si="15"/>
        <v>618130.25</v>
      </c>
    </row>
    <row r="298" spans="2:5" x14ac:dyDescent="0.25">
      <c r="B298" s="5">
        <v>41883</v>
      </c>
      <c r="C298" s="6">
        <v>209913</v>
      </c>
      <c r="D298" s="6">
        <f t="shared" si="14"/>
        <v>641306</v>
      </c>
      <c r="E298" s="6">
        <f t="shared" si="15"/>
        <v>621445</v>
      </c>
    </row>
    <row r="299" spans="2:5" x14ac:dyDescent="0.25">
      <c r="B299" s="5">
        <v>41913</v>
      </c>
      <c r="C299" s="6">
        <v>206859</v>
      </c>
      <c r="D299" s="6">
        <f t="shared" si="14"/>
        <v>629589</v>
      </c>
      <c r="E299" s="6">
        <f t="shared" si="15"/>
        <v>618950.75</v>
      </c>
    </row>
    <row r="300" spans="2:5" x14ac:dyDescent="0.25">
      <c r="B300" s="5">
        <v>41944</v>
      </c>
      <c r="C300" s="6">
        <v>194312</v>
      </c>
      <c r="D300" s="6">
        <f t="shared" si="14"/>
        <v>611084</v>
      </c>
      <c r="E300" s="6">
        <f t="shared" si="15"/>
        <v>616399.75</v>
      </c>
    </row>
    <row r="301" spans="2:5" x14ac:dyDescent="0.25">
      <c r="B301" s="5">
        <v>41974</v>
      </c>
      <c r="C301" s="6">
        <v>188199</v>
      </c>
      <c r="D301" s="6">
        <f t="shared" si="14"/>
        <v>589370</v>
      </c>
      <c r="E301" s="6">
        <f t="shared" si="15"/>
        <v>613711.25</v>
      </c>
    </row>
    <row r="302" spans="2:5" x14ac:dyDescent="0.25">
      <c r="B302" s="5">
        <v>42005</v>
      </c>
      <c r="C302" s="6">
        <v>177999</v>
      </c>
      <c r="D302" s="6">
        <f t="shared" si="14"/>
        <v>560510</v>
      </c>
      <c r="E302" s="6">
        <f t="shared" si="15"/>
        <v>610672</v>
      </c>
    </row>
    <row r="303" spans="2:5" x14ac:dyDescent="0.25">
      <c r="B303" s="5">
        <v>42036</v>
      </c>
      <c r="C303" s="6">
        <v>163971</v>
      </c>
      <c r="D303" s="6">
        <f t="shared" si="14"/>
        <v>530169</v>
      </c>
      <c r="E303" s="6">
        <f t="shared" si="15"/>
        <v>603899.75</v>
      </c>
    </row>
    <row r="304" spans="2:5" x14ac:dyDescent="0.25">
      <c r="B304" s="5">
        <v>42064</v>
      </c>
      <c r="C304" s="6">
        <v>161724</v>
      </c>
      <c r="D304" s="6">
        <f t="shared" si="14"/>
        <v>503694</v>
      </c>
      <c r="E304" s="6">
        <f t="shared" si="15"/>
        <v>593038.75</v>
      </c>
    </row>
    <row r="305" spans="2:5" x14ac:dyDescent="0.25">
      <c r="B305" s="5">
        <v>42095</v>
      </c>
      <c r="C305" s="6">
        <v>160806</v>
      </c>
      <c r="D305" s="6">
        <f t="shared" si="14"/>
        <v>486501</v>
      </c>
      <c r="E305" s="6">
        <f t="shared" si="15"/>
        <v>579521.25</v>
      </c>
    </row>
    <row r="306" spans="2:5" x14ac:dyDescent="0.25">
      <c r="B306" s="5">
        <v>42125</v>
      </c>
      <c r="C306" s="6">
        <v>158040</v>
      </c>
      <c r="D306" s="6">
        <f t="shared" si="14"/>
        <v>480570</v>
      </c>
      <c r="E306" s="6">
        <f t="shared" si="15"/>
        <v>564863</v>
      </c>
    </row>
    <row r="307" spans="2:5" x14ac:dyDescent="0.25">
      <c r="B307" s="5">
        <v>42156</v>
      </c>
      <c r="C307" s="6">
        <v>155254</v>
      </c>
      <c r="D307" s="6">
        <f t="shared" si="14"/>
        <v>474100</v>
      </c>
      <c r="E307" s="6">
        <f t="shared" si="15"/>
        <v>552117.5</v>
      </c>
    </row>
    <row r="308" spans="2:5" x14ac:dyDescent="0.25">
      <c r="B308" s="5">
        <v>42186</v>
      </c>
      <c r="C308" s="6">
        <v>154661</v>
      </c>
      <c r="D308" s="6">
        <f t="shared" si="14"/>
        <v>467955</v>
      </c>
      <c r="E308" s="6">
        <f t="shared" si="15"/>
        <v>536138.75</v>
      </c>
    </row>
    <row r="309" spans="2:5" x14ac:dyDescent="0.25">
      <c r="B309" s="5">
        <v>42217</v>
      </c>
      <c r="C309" s="6">
        <v>140199</v>
      </c>
      <c r="D309" s="6">
        <f t="shared" si="14"/>
        <v>450114</v>
      </c>
      <c r="E309" s="6">
        <f t="shared" si="15"/>
        <v>517984.25</v>
      </c>
    </row>
    <row r="310" spans="2:5" x14ac:dyDescent="0.25">
      <c r="B310" s="5">
        <v>42248</v>
      </c>
      <c r="C310" s="6">
        <v>125901</v>
      </c>
      <c r="D310" s="6">
        <f t="shared" si="14"/>
        <v>420761</v>
      </c>
      <c r="E310" s="6">
        <f t="shared" si="15"/>
        <v>496981.25</v>
      </c>
    </row>
    <row r="311" spans="2:5" x14ac:dyDescent="0.25">
      <c r="B311" s="5">
        <v>42278</v>
      </c>
      <c r="C311" s="6">
        <v>131987</v>
      </c>
      <c r="D311" s="6">
        <f t="shared" si="14"/>
        <v>398087</v>
      </c>
      <c r="E311" s="6">
        <f t="shared" si="15"/>
        <v>478263.25</v>
      </c>
    </row>
    <row r="312" spans="2:5" x14ac:dyDescent="0.25">
      <c r="B312" s="5">
        <v>42309</v>
      </c>
      <c r="C312" s="6">
        <v>134033</v>
      </c>
      <c r="D312" s="6">
        <f t="shared" si="14"/>
        <v>391921</v>
      </c>
      <c r="E312" s="6">
        <f t="shared" si="15"/>
        <v>463193.5</v>
      </c>
    </row>
    <row r="313" spans="2:5" x14ac:dyDescent="0.25">
      <c r="B313" s="5">
        <v>42339</v>
      </c>
      <c r="C313" s="6">
        <v>131593</v>
      </c>
      <c r="D313" s="6">
        <f t="shared" si="14"/>
        <v>397613</v>
      </c>
      <c r="E313" s="6">
        <f t="shared" si="15"/>
        <v>449042</v>
      </c>
    </row>
    <row r="314" spans="2:5" x14ac:dyDescent="0.25">
      <c r="B314" s="5">
        <v>42370</v>
      </c>
      <c r="C314" s="6">
        <v>117572</v>
      </c>
      <c r="D314" s="6">
        <f t="shared" si="14"/>
        <v>383198</v>
      </c>
      <c r="E314" s="6">
        <f t="shared" si="15"/>
        <v>433935.25</v>
      </c>
    </row>
    <row r="315" spans="2:5" x14ac:dyDescent="0.25">
      <c r="B315" s="5">
        <v>42401</v>
      </c>
      <c r="C315" s="6">
        <v>121978</v>
      </c>
      <c r="D315" s="6">
        <f t="shared" si="14"/>
        <v>371143</v>
      </c>
      <c r="E315" s="6">
        <f t="shared" si="15"/>
        <v>423437</v>
      </c>
    </row>
    <row r="316" spans="2:5" x14ac:dyDescent="0.25">
      <c r="B316" s="5">
        <v>42430</v>
      </c>
      <c r="C316" s="6">
        <v>140995</v>
      </c>
      <c r="D316" s="6">
        <f t="shared" si="14"/>
        <v>380545</v>
      </c>
      <c r="E316" s="6">
        <f t="shared" si="15"/>
        <v>418254.75</v>
      </c>
    </row>
    <row r="317" spans="2:5" x14ac:dyDescent="0.25">
      <c r="B317" s="5">
        <v>42461</v>
      </c>
      <c r="C317" s="6">
        <v>144664</v>
      </c>
      <c r="D317" s="6">
        <f t="shared" si="14"/>
        <v>407637</v>
      </c>
      <c r="E317" s="6">
        <f t="shared" si="15"/>
        <v>414219.25</v>
      </c>
    </row>
    <row r="318" spans="2:5" x14ac:dyDescent="0.25">
      <c r="B318" s="5">
        <v>42491</v>
      </c>
      <c r="C318" s="6">
        <v>144730</v>
      </c>
      <c r="D318" s="6">
        <f t="shared" si="14"/>
        <v>430389</v>
      </c>
      <c r="E318" s="6">
        <f t="shared" si="15"/>
        <v>410891.75</v>
      </c>
    </row>
    <row r="319" spans="2:5" x14ac:dyDescent="0.25">
      <c r="B319" s="5">
        <v>42522</v>
      </c>
      <c r="C319" s="6">
        <v>151561</v>
      </c>
      <c r="D319" s="6">
        <f t="shared" si="14"/>
        <v>440955</v>
      </c>
      <c r="E319" s="6">
        <f t="shared" si="15"/>
        <v>409968.5</v>
      </c>
    </row>
    <row r="320" spans="2:5" x14ac:dyDescent="0.25">
      <c r="B320" s="5">
        <v>42552</v>
      </c>
      <c r="C320" s="6">
        <v>158516</v>
      </c>
      <c r="D320" s="6">
        <f t="shared" si="14"/>
        <v>454807</v>
      </c>
      <c r="E320" s="6">
        <f t="shared" si="15"/>
        <v>410932.25</v>
      </c>
    </row>
    <row r="321" spans="2:5" x14ac:dyDescent="0.25">
      <c r="B321" s="5">
        <v>42583</v>
      </c>
      <c r="C321" s="6">
        <v>164431</v>
      </c>
      <c r="D321" s="6">
        <f t="shared" si="14"/>
        <v>474508</v>
      </c>
      <c r="E321" s="6">
        <f t="shared" si="15"/>
        <v>416990.25</v>
      </c>
    </row>
    <row r="322" spans="2:5" x14ac:dyDescent="0.25">
      <c r="B322" s="5">
        <v>42614</v>
      </c>
      <c r="C322" s="6">
        <v>160635</v>
      </c>
      <c r="D322" s="6">
        <f t="shared" si="14"/>
        <v>483582</v>
      </c>
      <c r="E322" s="6">
        <f t="shared" si="15"/>
        <v>425673.75</v>
      </c>
    </row>
    <row r="323" spans="2:5" x14ac:dyDescent="0.25">
      <c r="B323" s="5">
        <v>42644</v>
      </c>
      <c r="C323" s="6">
        <v>168670</v>
      </c>
      <c r="D323" s="6">
        <f t="shared" si="14"/>
        <v>493736</v>
      </c>
      <c r="E323" s="6">
        <f t="shared" si="15"/>
        <v>434844.5</v>
      </c>
    </row>
    <row r="324" spans="2:5" x14ac:dyDescent="0.25">
      <c r="B324" s="5">
        <v>42675</v>
      </c>
      <c r="C324" s="6">
        <v>162977</v>
      </c>
      <c r="D324" s="6">
        <f t="shared" si="14"/>
        <v>492282</v>
      </c>
      <c r="E324" s="6">
        <f t="shared" si="15"/>
        <v>442080.5</v>
      </c>
    </row>
    <row r="325" spans="2:5" x14ac:dyDescent="0.25">
      <c r="B325" s="5">
        <v>42705</v>
      </c>
      <c r="C325" s="6">
        <v>163403</v>
      </c>
      <c r="D325" s="6">
        <f t="shared" si="14"/>
        <v>495050</v>
      </c>
      <c r="E325" s="6">
        <f t="shared" si="15"/>
        <v>450033</v>
      </c>
    </row>
    <row r="326" spans="2:5" x14ac:dyDescent="0.25">
      <c r="B326" s="5">
        <v>42736</v>
      </c>
      <c r="C326" s="6">
        <v>160728</v>
      </c>
      <c r="D326" s="6">
        <f t="shared" ref="D326:D389" si="16">SUM(C324:C326)</f>
        <v>487108</v>
      </c>
      <c r="E326" s="6">
        <f t="shared" si="15"/>
        <v>460822</v>
      </c>
    </row>
    <row r="327" spans="2:5" x14ac:dyDescent="0.25">
      <c r="B327" s="5">
        <v>42767</v>
      </c>
      <c r="C327" s="6">
        <v>164670</v>
      </c>
      <c r="D327" s="6">
        <f t="shared" si="16"/>
        <v>488801</v>
      </c>
      <c r="E327" s="6">
        <f t="shared" si="15"/>
        <v>471495</v>
      </c>
    </row>
    <row r="328" spans="2:5" x14ac:dyDescent="0.25">
      <c r="B328" s="5">
        <v>42795</v>
      </c>
      <c r="C328" s="6">
        <v>179351</v>
      </c>
      <c r="D328" s="6">
        <f t="shared" si="16"/>
        <v>504749</v>
      </c>
      <c r="E328" s="6">
        <f t="shared" si="15"/>
        <v>481084</v>
      </c>
    </row>
    <row r="329" spans="2:5" x14ac:dyDescent="0.25">
      <c r="B329" s="5">
        <v>42826</v>
      </c>
      <c r="C329" s="6">
        <v>171625</v>
      </c>
      <c r="D329" s="6">
        <f t="shared" si="16"/>
        <v>515646</v>
      </c>
      <c r="E329" s="6">
        <f t="shared" si="15"/>
        <v>487824.25</v>
      </c>
    </row>
    <row r="330" spans="2:5" x14ac:dyDescent="0.25">
      <c r="B330" s="5">
        <v>42856</v>
      </c>
      <c r="C330" s="6">
        <v>171429</v>
      </c>
      <c r="D330" s="6">
        <f t="shared" si="16"/>
        <v>522405</v>
      </c>
      <c r="E330" s="6">
        <f t="shared" si="15"/>
        <v>494499</v>
      </c>
    </row>
    <row r="331" spans="2:5" x14ac:dyDescent="0.25">
      <c r="B331" s="5">
        <v>42887</v>
      </c>
      <c r="C331" s="6">
        <v>165033</v>
      </c>
      <c r="D331" s="6">
        <f t="shared" si="16"/>
        <v>508087</v>
      </c>
      <c r="E331" s="6">
        <f t="shared" si="15"/>
        <v>497867</v>
      </c>
    </row>
    <row r="332" spans="2:5" x14ac:dyDescent="0.25">
      <c r="B332" s="5">
        <v>42917</v>
      </c>
      <c r="C332" s="6">
        <v>171188</v>
      </c>
      <c r="D332" s="6">
        <f t="shared" si="16"/>
        <v>507650</v>
      </c>
      <c r="E332" s="6">
        <f t="shared" si="15"/>
        <v>501035</v>
      </c>
    </row>
    <row r="333" spans="2:5" x14ac:dyDescent="0.25">
      <c r="B333" s="5">
        <v>42948</v>
      </c>
      <c r="C333" s="6">
        <v>176489</v>
      </c>
      <c r="D333" s="6">
        <f t="shared" si="16"/>
        <v>512710</v>
      </c>
      <c r="E333" s="6">
        <f t="shared" si="15"/>
        <v>504049.5</v>
      </c>
    </row>
    <row r="334" spans="2:5" x14ac:dyDescent="0.25">
      <c r="B334" s="5">
        <v>42979</v>
      </c>
      <c r="C334" s="6">
        <v>173649</v>
      </c>
      <c r="D334" s="6">
        <f t="shared" si="16"/>
        <v>521326</v>
      </c>
      <c r="E334" s="6">
        <f t="shared" ref="E334:E397" si="17">SUM(C323:C334)/4</f>
        <v>507303</v>
      </c>
    </row>
    <row r="335" spans="2:5" x14ac:dyDescent="0.25">
      <c r="B335" s="5">
        <v>43009</v>
      </c>
      <c r="C335" s="6">
        <v>177859</v>
      </c>
      <c r="D335" s="6">
        <f t="shared" si="16"/>
        <v>527997</v>
      </c>
      <c r="E335" s="6">
        <f t="shared" si="17"/>
        <v>509600.25</v>
      </c>
    </row>
    <row r="336" spans="2:5" x14ac:dyDescent="0.25">
      <c r="B336" s="5">
        <v>43040</v>
      </c>
      <c r="C336" s="6">
        <v>175885</v>
      </c>
      <c r="D336" s="6">
        <f t="shared" si="16"/>
        <v>527393</v>
      </c>
      <c r="E336" s="6">
        <f t="shared" si="17"/>
        <v>512827.25</v>
      </c>
    </row>
    <row r="337" spans="2:5" x14ac:dyDescent="0.25">
      <c r="B337" s="5">
        <v>43070</v>
      </c>
      <c r="C337" s="6">
        <v>175278</v>
      </c>
      <c r="D337" s="6">
        <f t="shared" si="16"/>
        <v>529022</v>
      </c>
      <c r="E337" s="6">
        <f t="shared" si="17"/>
        <v>515796</v>
      </c>
    </row>
    <row r="338" spans="2:5" x14ac:dyDescent="0.25">
      <c r="B338" s="5">
        <v>43101</v>
      </c>
      <c r="C338" s="6">
        <v>171487</v>
      </c>
      <c r="D338" s="6">
        <f t="shared" si="16"/>
        <v>522650</v>
      </c>
      <c r="E338" s="6">
        <f t="shared" si="17"/>
        <v>518485.75</v>
      </c>
    </row>
    <row r="339" spans="2:5" x14ac:dyDescent="0.25">
      <c r="B339" s="5">
        <v>43132</v>
      </c>
      <c r="C339" s="6">
        <v>166067</v>
      </c>
      <c r="D339" s="6">
        <f t="shared" si="16"/>
        <v>512832</v>
      </c>
      <c r="E339" s="6">
        <f t="shared" si="17"/>
        <v>518835</v>
      </c>
    </row>
    <row r="340" spans="2:5" x14ac:dyDescent="0.25">
      <c r="B340" s="5">
        <v>43160</v>
      </c>
      <c r="C340" s="6">
        <v>178679</v>
      </c>
      <c r="D340" s="6">
        <f t="shared" si="16"/>
        <v>516233</v>
      </c>
      <c r="E340" s="6">
        <f t="shared" si="17"/>
        <v>518667</v>
      </c>
    </row>
    <row r="341" spans="2:5" x14ac:dyDescent="0.25">
      <c r="B341" s="5">
        <v>43191</v>
      </c>
      <c r="C341" s="6">
        <v>171381</v>
      </c>
      <c r="D341" s="6">
        <f t="shared" si="16"/>
        <v>516127</v>
      </c>
      <c r="E341" s="6">
        <f t="shared" si="17"/>
        <v>518606</v>
      </c>
    </row>
    <row r="342" spans="2:5" x14ac:dyDescent="0.25">
      <c r="B342" s="5">
        <v>43221</v>
      </c>
      <c r="C342" s="6">
        <v>153607</v>
      </c>
      <c r="D342" s="6">
        <f t="shared" si="16"/>
        <v>503667</v>
      </c>
      <c r="E342" s="6">
        <f t="shared" si="17"/>
        <v>514150.5</v>
      </c>
    </row>
    <row r="343" spans="2:5" x14ac:dyDescent="0.25">
      <c r="B343" s="5">
        <v>43252</v>
      </c>
      <c r="C343" s="6">
        <v>154133</v>
      </c>
      <c r="D343" s="6">
        <f t="shared" si="16"/>
        <v>479121</v>
      </c>
      <c r="E343" s="6">
        <f t="shared" si="17"/>
        <v>511425.5</v>
      </c>
    </row>
    <row r="344" spans="2:5" x14ac:dyDescent="0.25">
      <c r="B344" s="5">
        <v>43282</v>
      </c>
      <c r="C344" s="6">
        <v>153820</v>
      </c>
      <c r="D344" s="6">
        <f t="shared" si="16"/>
        <v>461560</v>
      </c>
      <c r="E344" s="6">
        <f t="shared" si="17"/>
        <v>507083.5</v>
      </c>
    </row>
    <row r="345" spans="2:5" x14ac:dyDescent="0.25">
      <c r="B345" s="5">
        <v>43313</v>
      </c>
      <c r="C345" s="6">
        <v>151532</v>
      </c>
      <c r="D345" s="6">
        <f t="shared" si="16"/>
        <v>459485</v>
      </c>
      <c r="E345" s="6">
        <f t="shared" si="17"/>
        <v>500844.25</v>
      </c>
    </row>
    <row r="346" spans="2:5" x14ac:dyDescent="0.25">
      <c r="B346" s="5">
        <v>43344</v>
      </c>
      <c r="C346" s="6">
        <v>139366</v>
      </c>
      <c r="D346" s="6">
        <f t="shared" si="16"/>
        <v>444718</v>
      </c>
      <c r="E346" s="6">
        <f t="shared" si="17"/>
        <v>492273.5</v>
      </c>
    </row>
    <row r="347" spans="2:5" x14ac:dyDescent="0.25">
      <c r="B347" s="5">
        <v>43374</v>
      </c>
      <c r="C347" s="6">
        <v>162013</v>
      </c>
      <c r="D347" s="6">
        <f t="shared" si="16"/>
        <v>452911</v>
      </c>
      <c r="E347" s="6">
        <f t="shared" si="17"/>
        <v>488312</v>
      </c>
    </row>
    <row r="348" spans="2:5" x14ac:dyDescent="0.25">
      <c r="B348" s="5">
        <v>43405</v>
      </c>
      <c r="C348" s="6">
        <v>159854</v>
      </c>
      <c r="D348" s="6">
        <f t="shared" si="16"/>
        <v>461233</v>
      </c>
      <c r="E348" s="6">
        <f t="shared" si="17"/>
        <v>484304.25</v>
      </c>
    </row>
    <row r="349" spans="2:5" x14ac:dyDescent="0.25">
      <c r="B349" s="5">
        <v>43435</v>
      </c>
      <c r="C349" s="6">
        <v>154274</v>
      </c>
      <c r="D349" s="6">
        <f t="shared" si="16"/>
        <v>476141</v>
      </c>
      <c r="E349" s="6">
        <f t="shared" si="17"/>
        <v>479053.25</v>
      </c>
    </row>
    <row r="350" spans="2:5" x14ac:dyDescent="0.25">
      <c r="B350" s="5">
        <v>43466</v>
      </c>
      <c r="C350" s="6">
        <v>154143</v>
      </c>
      <c r="D350" s="6">
        <f t="shared" si="16"/>
        <v>468271</v>
      </c>
      <c r="E350" s="6">
        <f t="shared" si="17"/>
        <v>474717.25</v>
      </c>
    </row>
    <row r="351" spans="2:5" x14ac:dyDescent="0.25">
      <c r="B351" s="5">
        <v>43497</v>
      </c>
      <c r="C351" s="6">
        <v>155136</v>
      </c>
      <c r="D351" s="6">
        <f t="shared" si="16"/>
        <v>463553</v>
      </c>
      <c r="E351" s="6">
        <f t="shared" si="17"/>
        <v>471984.5</v>
      </c>
    </row>
    <row r="352" spans="2:5" x14ac:dyDescent="0.25">
      <c r="B352" s="5">
        <v>43525</v>
      </c>
      <c r="C352" s="6">
        <v>156550</v>
      </c>
      <c r="D352" s="6">
        <f t="shared" si="16"/>
        <v>465829</v>
      </c>
      <c r="E352" s="6">
        <f t="shared" si="17"/>
        <v>466452.25</v>
      </c>
    </row>
    <row r="353" spans="2:5" x14ac:dyDescent="0.25">
      <c r="B353" s="5">
        <v>43556</v>
      </c>
      <c r="C353" s="6">
        <v>157403</v>
      </c>
      <c r="D353" s="6">
        <f t="shared" si="16"/>
        <v>469089</v>
      </c>
      <c r="E353" s="6">
        <f t="shared" si="17"/>
        <v>462957.75</v>
      </c>
    </row>
    <row r="354" spans="2:5" x14ac:dyDescent="0.25">
      <c r="B354" s="5">
        <v>43586</v>
      </c>
      <c r="C354" s="6">
        <v>154085</v>
      </c>
      <c r="D354" s="6">
        <f t="shared" si="16"/>
        <v>468038</v>
      </c>
      <c r="E354" s="6">
        <f t="shared" si="17"/>
        <v>463077.25</v>
      </c>
    </row>
    <row r="355" spans="2:5" x14ac:dyDescent="0.25">
      <c r="B355" s="5">
        <v>43617</v>
      </c>
      <c r="C355" s="6">
        <v>155118</v>
      </c>
      <c r="D355" s="6">
        <f t="shared" si="16"/>
        <v>466606</v>
      </c>
      <c r="E355" s="6">
        <f t="shared" si="17"/>
        <v>463323.5</v>
      </c>
    </row>
    <row r="356" spans="2:5" x14ac:dyDescent="0.25">
      <c r="B356" s="5">
        <v>43647</v>
      </c>
      <c r="C356" s="6">
        <v>167461</v>
      </c>
      <c r="D356" s="6">
        <f t="shared" si="16"/>
        <v>476664</v>
      </c>
      <c r="E356" s="6">
        <f t="shared" si="17"/>
        <v>466733.75</v>
      </c>
    </row>
    <row r="357" spans="2:5" x14ac:dyDescent="0.25">
      <c r="B357" s="5">
        <v>43678</v>
      </c>
      <c r="C357" s="6">
        <v>156873</v>
      </c>
      <c r="D357" s="6">
        <f t="shared" si="16"/>
        <v>479452</v>
      </c>
      <c r="E357" s="6">
        <f t="shared" si="17"/>
        <v>468069</v>
      </c>
    </row>
    <row r="358" spans="2:5" x14ac:dyDescent="0.25">
      <c r="B358" s="5">
        <v>43709</v>
      </c>
      <c r="C358" s="6">
        <v>149838</v>
      </c>
      <c r="D358" s="6">
        <f t="shared" si="16"/>
        <v>474172</v>
      </c>
      <c r="E358" s="6">
        <f t="shared" si="17"/>
        <v>470687</v>
      </c>
    </row>
    <row r="359" spans="2:5" x14ac:dyDescent="0.25">
      <c r="B359" s="5">
        <v>43739</v>
      </c>
      <c r="C359" s="6">
        <v>158410</v>
      </c>
      <c r="D359" s="6">
        <f t="shared" si="16"/>
        <v>465121</v>
      </c>
      <c r="E359" s="6">
        <f t="shared" si="17"/>
        <v>469786.25</v>
      </c>
    </row>
    <row r="360" spans="2:5" x14ac:dyDescent="0.25">
      <c r="B360" s="5">
        <v>43770</v>
      </c>
      <c r="C360" s="6">
        <v>153121</v>
      </c>
      <c r="D360" s="6">
        <f t="shared" si="16"/>
        <v>461369</v>
      </c>
      <c r="E360" s="6">
        <f t="shared" si="17"/>
        <v>468103</v>
      </c>
    </row>
    <row r="361" spans="2:5" x14ac:dyDescent="0.25">
      <c r="B361" s="5">
        <v>43800</v>
      </c>
      <c r="C361" s="6">
        <v>154662</v>
      </c>
      <c r="D361" s="6">
        <f t="shared" si="16"/>
        <v>466193</v>
      </c>
      <c r="E361" s="6">
        <f t="shared" si="17"/>
        <v>468200</v>
      </c>
    </row>
    <row r="362" spans="2:5" x14ac:dyDescent="0.25">
      <c r="B362" s="5">
        <v>43831</v>
      </c>
      <c r="C362" s="6">
        <v>147172</v>
      </c>
      <c r="D362" s="6">
        <f t="shared" si="16"/>
        <v>454955</v>
      </c>
      <c r="E362" s="6">
        <f t="shared" si="17"/>
        <v>466457.25</v>
      </c>
    </row>
    <row r="363" spans="2:5" x14ac:dyDescent="0.25">
      <c r="B363" s="5">
        <v>43862</v>
      </c>
      <c r="C363" s="6">
        <v>141607</v>
      </c>
      <c r="D363" s="6">
        <f t="shared" si="16"/>
        <v>443441</v>
      </c>
      <c r="E363" s="6">
        <f t="shared" si="17"/>
        <v>463075</v>
      </c>
    </row>
    <row r="364" spans="2:5" x14ac:dyDescent="0.25">
      <c r="B364" s="5">
        <v>43891</v>
      </c>
      <c r="C364" s="6">
        <v>128998</v>
      </c>
      <c r="D364" s="6">
        <f t="shared" si="16"/>
        <v>417777</v>
      </c>
      <c r="E364" s="6">
        <f t="shared" si="17"/>
        <v>456187</v>
      </c>
    </row>
    <row r="365" spans="2:5" x14ac:dyDescent="0.25">
      <c r="B365" s="5">
        <v>43922</v>
      </c>
      <c r="C365" s="6">
        <v>105921</v>
      </c>
      <c r="D365" s="6">
        <f t="shared" si="16"/>
        <v>376526</v>
      </c>
      <c r="E365" s="6">
        <f t="shared" si="17"/>
        <v>443316.5</v>
      </c>
    </row>
    <row r="366" spans="2:5" x14ac:dyDescent="0.25">
      <c r="B366" s="5">
        <v>43952</v>
      </c>
      <c r="C366" s="6">
        <v>101147</v>
      </c>
      <c r="D366" s="6">
        <f t="shared" si="16"/>
        <v>336066</v>
      </c>
      <c r="E366" s="6">
        <f t="shared" si="17"/>
        <v>430082</v>
      </c>
    </row>
    <row r="367" spans="2:5" x14ac:dyDescent="0.25">
      <c r="B367" s="5">
        <v>43983</v>
      </c>
      <c r="C367" s="6">
        <v>115789</v>
      </c>
      <c r="D367" s="6">
        <f t="shared" si="16"/>
        <v>322857</v>
      </c>
      <c r="E367" s="6">
        <f t="shared" si="17"/>
        <v>420249.75</v>
      </c>
    </row>
    <row r="368" spans="2:5" x14ac:dyDescent="0.25">
      <c r="B368" s="5">
        <v>44013</v>
      </c>
      <c r="C368" s="6">
        <v>120811</v>
      </c>
      <c r="D368" s="6">
        <f t="shared" si="16"/>
        <v>337747</v>
      </c>
      <c r="E368" s="6">
        <f t="shared" si="17"/>
        <v>408587.25</v>
      </c>
    </row>
    <row r="369" spans="2:5" x14ac:dyDescent="0.25">
      <c r="B369" s="5">
        <v>44044</v>
      </c>
      <c r="C369" s="6">
        <v>115613</v>
      </c>
      <c r="D369" s="6">
        <f t="shared" si="16"/>
        <v>352213</v>
      </c>
      <c r="E369" s="6">
        <f t="shared" si="17"/>
        <v>398272.25</v>
      </c>
    </row>
    <row r="370" spans="2:5" x14ac:dyDescent="0.25">
      <c r="B370" s="5">
        <v>44075</v>
      </c>
      <c r="C370" s="6">
        <v>118874</v>
      </c>
      <c r="D370" s="6">
        <f t="shared" si="16"/>
        <v>355298</v>
      </c>
      <c r="E370" s="6">
        <f t="shared" si="17"/>
        <v>390531.25</v>
      </c>
    </row>
    <row r="371" spans="2:5" x14ac:dyDescent="0.25">
      <c r="B371" s="5">
        <v>44105</v>
      </c>
      <c r="C371" s="6">
        <v>118743</v>
      </c>
      <c r="D371" s="6">
        <f t="shared" si="16"/>
        <v>353230</v>
      </c>
      <c r="E371" s="6">
        <f t="shared" si="17"/>
        <v>380614.5</v>
      </c>
    </row>
    <row r="372" spans="2:5" x14ac:dyDescent="0.25">
      <c r="B372" s="5">
        <v>44136</v>
      </c>
      <c r="C372" s="6">
        <v>124534</v>
      </c>
      <c r="D372" s="6">
        <f t="shared" si="16"/>
        <v>362151</v>
      </c>
      <c r="E372" s="6">
        <f t="shared" si="17"/>
        <v>373467.75</v>
      </c>
    </row>
    <row r="373" spans="2:5" x14ac:dyDescent="0.25">
      <c r="B373" s="5">
        <v>44166</v>
      </c>
      <c r="C373" s="6">
        <v>136319</v>
      </c>
      <c r="D373" s="6">
        <f t="shared" si="16"/>
        <v>379596</v>
      </c>
      <c r="E373" s="6">
        <f t="shared" si="17"/>
        <v>368882</v>
      </c>
    </row>
    <row r="374" spans="2:5" x14ac:dyDescent="0.25">
      <c r="B374" s="5">
        <v>44197</v>
      </c>
      <c r="C374" s="6">
        <v>126145</v>
      </c>
      <c r="D374" s="6">
        <f t="shared" si="16"/>
        <v>386998</v>
      </c>
      <c r="E374" s="6">
        <f t="shared" si="17"/>
        <v>363625.25</v>
      </c>
    </row>
    <row r="375" spans="2:5" x14ac:dyDescent="0.25">
      <c r="B375" s="5">
        <v>44228</v>
      </c>
      <c r="C375" s="6">
        <v>130264</v>
      </c>
      <c r="D375" s="6">
        <f t="shared" si="16"/>
        <v>392728</v>
      </c>
      <c r="E375" s="6">
        <f t="shared" si="17"/>
        <v>360789.5</v>
      </c>
    </row>
    <row r="376" spans="2:5" x14ac:dyDescent="0.25">
      <c r="B376" s="5">
        <v>44256</v>
      </c>
      <c r="C376" s="6">
        <v>135957</v>
      </c>
      <c r="D376" s="6">
        <f t="shared" si="16"/>
        <v>392366</v>
      </c>
      <c r="E376" s="6">
        <f t="shared" si="17"/>
        <v>362529.25</v>
      </c>
    </row>
    <row r="377" spans="2:5" x14ac:dyDescent="0.25">
      <c r="B377" s="5">
        <v>44287</v>
      </c>
      <c r="C377" s="6">
        <v>132610</v>
      </c>
      <c r="D377" s="6">
        <f t="shared" si="16"/>
        <v>398831</v>
      </c>
      <c r="E377" s="6">
        <f t="shared" si="17"/>
        <v>369201.5</v>
      </c>
    </row>
    <row r="378" spans="2:5" x14ac:dyDescent="0.25">
      <c r="B378" s="5">
        <v>44317</v>
      </c>
      <c r="C378" s="6">
        <v>137929</v>
      </c>
      <c r="D378" s="6">
        <f t="shared" si="16"/>
        <v>406496</v>
      </c>
      <c r="E378" s="6">
        <f t="shared" si="17"/>
        <v>378397</v>
      </c>
    </row>
    <row r="379" spans="2:5" x14ac:dyDescent="0.25">
      <c r="B379" s="5">
        <v>44348</v>
      </c>
      <c r="C379" s="6">
        <v>145995</v>
      </c>
      <c r="D379" s="6">
        <f t="shared" si="16"/>
        <v>416534</v>
      </c>
      <c r="E379" s="6">
        <f t="shared" si="17"/>
        <v>385948.5</v>
      </c>
    </row>
    <row r="380" spans="2:5" x14ac:dyDescent="0.25">
      <c r="B380" s="5">
        <v>44378</v>
      </c>
      <c r="C380" s="6">
        <v>148550</v>
      </c>
      <c r="D380" s="6">
        <f t="shared" si="16"/>
        <v>432474</v>
      </c>
      <c r="E380" s="6">
        <f t="shared" si="17"/>
        <v>392883.25</v>
      </c>
    </row>
    <row r="381" spans="2:5" x14ac:dyDescent="0.25">
      <c r="B381" s="5">
        <v>44409</v>
      </c>
      <c r="C381" s="6">
        <v>146271</v>
      </c>
      <c r="D381" s="6">
        <f t="shared" si="16"/>
        <v>440816</v>
      </c>
      <c r="E381" s="6">
        <f t="shared" si="17"/>
        <v>400547.75</v>
      </c>
    </row>
    <row r="382" spans="2:5" x14ac:dyDescent="0.25">
      <c r="B382" s="5">
        <v>44440</v>
      </c>
      <c r="C382" s="6">
        <v>144555</v>
      </c>
      <c r="D382" s="6">
        <f t="shared" si="16"/>
        <v>439376</v>
      </c>
      <c r="E382" s="6">
        <f t="shared" si="17"/>
        <v>406968</v>
      </c>
    </row>
    <row r="383" spans="2:5" x14ac:dyDescent="0.25">
      <c r="B383" s="5">
        <v>44470</v>
      </c>
      <c r="C383" s="6">
        <v>139492</v>
      </c>
      <c r="D383" s="6">
        <f t="shared" si="16"/>
        <v>430318</v>
      </c>
      <c r="E383" s="6">
        <f t="shared" si="17"/>
        <v>412155.25</v>
      </c>
    </row>
    <row r="384" spans="2:5" x14ac:dyDescent="0.25">
      <c r="B384" s="5">
        <v>44501</v>
      </c>
      <c r="C384" s="6">
        <v>141872</v>
      </c>
      <c r="D384" s="6">
        <f t="shared" si="16"/>
        <v>425919</v>
      </c>
      <c r="E384" s="6">
        <f t="shared" si="17"/>
        <v>416489.75</v>
      </c>
    </row>
    <row r="385" spans="2:5" x14ac:dyDescent="0.25">
      <c r="B385" s="5">
        <v>44531</v>
      </c>
      <c r="C385" s="6">
        <v>140854</v>
      </c>
      <c r="D385" s="6">
        <f t="shared" si="16"/>
        <v>422218</v>
      </c>
      <c r="E385" s="6">
        <f t="shared" si="17"/>
        <v>417623.5</v>
      </c>
    </row>
    <row r="386" spans="2:5" x14ac:dyDescent="0.25">
      <c r="B386" s="5">
        <v>44562</v>
      </c>
      <c r="C386" s="6">
        <v>130525</v>
      </c>
      <c r="D386" s="6">
        <f t="shared" si="16"/>
        <v>413251</v>
      </c>
      <c r="E386" s="6">
        <f t="shared" si="17"/>
        <v>418718.5</v>
      </c>
    </row>
    <row r="387" spans="2:5" x14ac:dyDescent="0.25">
      <c r="B387" s="5">
        <v>44593</v>
      </c>
      <c r="C387" s="6">
        <v>145086</v>
      </c>
      <c r="D387" s="6">
        <f t="shared" si="16"/>
        <v>416465</v>
      </c>
      <c r="E387" s="6">
        <f t="shared" si="17"/>
        <v>422424</v>
      </c>
    </row>
    <row r="388" spans="2:5" x14ac:dyDescent="0.25">
      <c r="B388" s="5">
        <v>44621</v>
      </c>
      <c r="C388" s="6">
        <v>169290</v>
      </c>
      <c r="D388" s="6">
        <f t="shared" si="16"/>
        <v>444901</v>
      </c>
      <c r="E388" s="6">
        <f t="shared" si="17"/>
        <v>430757.25</v>
      </c>
    </row>
    <row r="389" spans="2:5" x14ac:dyDescent="0.25">
      <c r="B389" s="5">
        <v>44652</v>
      </c>
      <c r="C389" s="6">
        <v>174726</v>
      </c>
      <c r="D389" s="6">
        <f t="shared" si="16"/>
        <v>489102</v>
      </c>
      <c r="E389" s="6">
        <f t="shared" si="17"/>
        <v>441286.25</v>
      </c>
    </row>
    <row r="390" spans="2:5" x14ac:dyDescent="0.25">
      <c r="B390" s="5">
        <v>44682</v>
      </c>
      <c r="C390" s="6">
        <v>169416</v>
      </c>
      <c r="D390" s="6">
        <f t="shared" ref="D390:D440" si="18">SUM(C388:C390)</f>
        <v>513432</v>
      </c>
      <c r="E390" s="6">
        <f t="shared" si="17"/>
        <v>449158</v>
      </c>
    </row>
    <row r="391" spans="2:5" x14ac:dyDescent="0.25">
      <c r="B391" s="5">
        <v>44713</v>
      </c>
      <c r="C391" s="6">
        <v>166676</v>
      </c>
      <c r="D391" s="6">
        <f t="shared" si="18"/>
        <v>510818</v>
      </c>
      <c r="E391" s="6">
        <f t="shared" si="17"/>
        <v>454328.25</v>
      </c>
    </row>
    <row r="392" spans="2:5" x14ac:dyDescent="0.25">
      <c r="B392" s="5">
        <v>44743</v>
      </c>
      <c r="C392" s="6">
        <v>161467</v>
      </c>
      <c r="D392" s="6">
        <f t="shared" si="18"/>
        <v>497559</v>
      </c>
      <c r="E392" s="6">
        <f t="shared" si="17"/>
        <v>457557.5</v>
      </c>
    </row>
    <row r="393" spans="2:5" x14ac:dyDescent="0.25">
      <c r="B393" s="5">
        <v>44774</v>
      </c>
      <c r="C393" s="6">
        <v>169491</v>
      </c>
      <c r="D393" s="6">
        <f t="shared" si="18"/>
        <v>497634</v>
      </c>
      <c r="E393" s="6">
        <f t="shared" si="17"/>
        <v>463362.5</v>
      </c>
    </row>
    <row r="394" spans="2:5" x14ac:dyDescent="0.25">
      <c r="B394" s="5">
        <v>44805</v>
      </c>
      <c r="C394" s="6">
        <v>163483</v>
      </c>
      <c r="D394" s="6">
        <f t="shared" si="18"/>
        <v>494441</v>
      </c>
      <c r="E394" s="6">
        <f t="shared" si="17"/>
        <v>468094.5</v>
      </c>
    </row>
    <row r="395" spans="2:5" x14ac:dyDescent="0.25">
      <c r="B395" s="5">
        <v>44835</v>
      </c>
      <c r="C395" s="6">
        <v>167124</v>
      </c>
      <c r="D395" s="6">
        <f t="shared" si="18"/>
        <v>500098</v>
      </c>
      <c r="E395" s="6">
        <f t="shared" si="17"/>
        <v>475002.5</v>
      </c>
    </row>
    <row r="396" spans="2:5" x14ac:dyDescent="0.25">
      <c r="B396" s="5">
        <v>44866</v>
      </c>
      <c r="C396" s="6">
        <v>166680</v>
      </c>
      <c r="D396" s="6">
        <f t="shared" si="18"/>
        <v>497287</v>
      </c>
      <c r="E396" s="6">
        <f t="shared" si="17"/>
        <v>481204.5</v>
      </c>
    </row>
    <row r="397" spans="2:5" x14ac:dyDescent="0.25">
      <c r="B397" s="5">
        <v>44896</v>
      </c>
      <c r="C397" s="6">
        <v>167610</v>
      </c>
      <c r="D397" s="6">
        <f t="shared" si="18"/>
        <v>501414</v>
      </c>
      <c r="E397" s="6">
        <f t="shared" si="17"/>
        <v>487893.5</v>
      </c>
    </row>
    <row r="398" spans="2:5" x14ac:dyDescent="0.25">
      <c r="B398" s="5">
        <v>44927</v>
      </c>
      <c r="C398" s="6">
        <v>155520</v>
      </c>
      <c r="D398" s="6">
        <f t="shared" si="18"/>
        <v>489810</v>
      </c>
      <c r="E398" s="6">
        <f t="shared" ref="E398:E440" si="19">SUM(C387:C398)/4</f>
        <v>494142.25</v>
      </c>
    </row>
    <row r="399" spans="2:5" x14ac:dyDescent="0.25">
      <c r="B399" s="5">
        <v>44958</v>
      </c>
      <c r="C399" s="6">
        <v>160454</v>
      </c>
      <c r="D399" s="6">
        <f t="shared" si="18"/>
        <v>483584</v>
      </c>
      <c r="E399" s="6">
        <f t="shared" si="19"/>
        <v>497984.25</v>
      </c>
    </row>
    <row r="400" spans="2:5" x14ac:dyDescent="0.25">
      <c r="B400" s="5">
        <v>44986</v>
      </c>
      <c r="C400" s="6">
        <v>180006</v>
      </c>
      <c r="D400" s="6">
        <f t="shared" si="18"/>
        <v>495980</v>
      </c>
      <c r="E400" s="6">
        <f t="shared" si="19"/>
        <v>500663.25</v>
      </c>
    </row>
    <row r="401" spans="2:5" x14ac:dyDescent="0.25">
      <c r="B401" s="5">
        <v>45017</v>
      </c>
      <c r="C401" s="6">
        <v>181179</v>
      </c>
      <c r="D401" s="6">
        <f t="shared" si="18"/>
        <v>521639</v>
      </c>
      <c r="E401" s="6">
        <f t="shared" si="19"/>
        <v>502276.5</v>
      </c>
    </row>
    <row r="402" spans="2:5" x14ac:dyDescent="0.25">
      <c r="B402" s="5">
        <v>45047</v>
      </c>
      <c r="C402" s="6">
        <v>182673</v>
      </c>
      <c r="D402" s="6">
        <f t="shared" si="18"/>
        <v>543858</v>
      </c>
      <c r="E402" s="6">
        <f t="shared" si="19"/>
        <v>505590.75</v>
      </c>
    </row>
    <row r="403" spans="2:5" x14ac:dyDescent="0.25">
      <c r="B403" s="5">
        <v>45078</v>
      </c>
      <c r="C403" s="6">
        <v>186458</v>
      </c>
      <c r="D403" s="6">
        <f t="shared" si="18"/>
        <v>550310</v>
      </c>
      <c r="E403" s="6">
        <f t="shared" si="19"/>
        <v>510536.25</v>
      </c>
    </row>
    <row r="404" spans="2:5" x14ac:dyDescent="0.25">
      <c r="B404" s="5">
        <v>45108</v>
      </c>
      <c r="C404" s="6">
        <v>191678</v>
      </c>
      <c r="D404" s="6">
        <f t="shared" si="18"/>
        <v>560809</v>
      </c>
      <c r="E404" s="6">
        <f t="shared" si="19"/>
        <v>518089</v>
      </c>
    </row>
    <row r="405" spans="2:5" x14ac:dyDescent="0.25">
      <c r="B405" s="5">
        <v>45139</v>
      </c>
      <c r="C405" s="6">
        <v>189998</v>
      </c>
      <c r="D405" s="6">
        <f t="shared" si="18"/>
        <v>568134</v>
      </c>
      <c r="E405" s="6">
        <f t="shared" si="19"/>
        <v>523215.75</v>
      </c>
    </row>
    <row r="406" spans="2:5" x14ac:dyDescent="0.25">
      <c r="B406" s="5">
        <v>45170</v>
      </c>
      <c r="C406" s="6">
        <v>185236</v>
      </c>
      <c r="D406" s="6">
        <f t="shared" si="18"/>
        <v>566912</v>
      </c>
      <c r="E406" s="6">
        <f t="shared" si="19"/>
        <v>528654</v>
      </c>
    </row>
    <row r="407" spans="2:5" x14ac:dyDescent="0.25">
      <c r="B407" s="5">
        <v>45200</v>
      </c>
      <c r="C407" s="6">
        <v>187878</v>
      </c>
      <c r="D407" s="6">
        <f t="shared" si="18"/>
        <v>563112</v>
      </c>
      <c r="E407" s="6">
        <f t="shared" si="19"/>
        <v>533842.5</v>
      </c>
    </row>
    <row r="408" spans="2:5" x14ac:dyDescent="0.25">
      <c r="B408" s="5">
        <v>45231</v>
      </c>
      <c r="C408" s="6">
        <v>196066</v>
      </c>
      <c r="D408" s="6">
        <f t="shared" si="18"/>
        <v>569180</v>
      </c>
      <c r="E408" s="6">
        <f t="shared" si="19"/>
        <v>541189</v>
      </c>
    </row>
    <row r="409" spans="2:5" x14ac:dyDescent="0.25">
      <c r="B409" s="5">
        <v>45261</v>
      </c>
      <c r="C409" s="6">
        <v>193846</v>
      </c>
      <c r="D409" s="6">
        <f t="shared" si="18"/>
        <v>577790</v>
      </c>
      <c r="E409" s="6">
        <f t="shared" si="19"/>
        <v>547748</v>
      </c>
    </row>
    <row r="410" spans="2:5" x14ac:dyDescent="0.25">
      <c r="B410" s="5">
        <v>45292</v>
      </c>
      <c r="C410" s="6">
        <v>181176</v>
      </c>
      <c r="D410" s="6">
        <f t="shared" si="18"/>
        <v>571088</v>
      </c>
      <c r="E410" s="6">
        <f t="shared" si="19"/>
        <v>554162</v>
      </c>
    </row>
    <row r="411" spans="2:5" x14ac:dyDescent="0.25">
      <c r="B411" s="5">
        <v>45323</v>
      </c>
      <c r="C411" s="6">
        <v>181626</v>
      </c>
      <c r="D411" s="6">
        <f t="shared" si="18"/>
        <v>556648</v>
      </c>
      <c r="E411" s="6">
        <f t="shared" si="19"/>
        <v>559455</v>
      </c>
    </row>
    <row r="412" spans="2:5" x14ac:dyDescent="0.25">
      <c r="B412" s="5">
        <v>45352</v>
      </c>
      <c r="C412" s="6">
        <v>194216</v>
      </c>
      <c r="D412" s="6">
        <f t="shared" si="18"/>
        <v>557018</v>
      </c>
      <c r="E412" s="6">
        <f t="shared" si="19"/>
        <v>563007.5</v>
      </c>
    </row>
    <row r="413" spans="2:5" x14ac:dyDescent="0.25">
      <c r="B413" s="5">
        <v>45383</v>
      </c>
      <c r="C413" s="6">
        <v>193091</v>
      </c>
      <c r="D413" s="6">
        <f t="shared" si="18"/>
        <v>568933</v>
      </c>
      <c r="E413" s="6">
        <f t="shared" si="19"/>
        <v>565985.5</v>
      </c>
    </row>
    <row r="414" spans="2:5" x14ac:dyDescent="0.25">
      <c r="B414" s="5">
        <v>45413</v>
      </c>
      <c r="C414" s="6">
        <v>187646</v>
      </c>
      <c r="D414" s="6">
        <f t="shared" si="18"/>
        <v>574953</v>
      </c>
      <c r="E414" s="6">
        <f t="shared" si="19"/>
        <v>567228.75</v>
      </c>
    </row>
    <row r="415" spans="2:5" x14ac:dyDescent="0.25">
      <c r="B415" s="5">
        <v>45444</v>
      </c>
      <c r="C415" s="6">
        <v>180735</v>
      </c>
      <c r="D415" s="6">
        <f t="shared" si="18"/>
        <v>561472</v>
      </c>
      <c r="E415" s="6">
        <f t="shared" si="19"/>
        <v>565798</v>
      </c>
    </row>
    <row r="416" spans="2:5" x14ac:dyDescent="0.25">
      <c r="B416" s="5">
        <v>45474</v>
      </c>
      <c r="C416" s="6">
        <v>183230</v>
      </c>
      <c r="D416" s="6">
        <f t="shared" si="18"/>
        <v>551611</v>
      </c>
      <c r="E416" s="6">
        <f t="shared" si="19"/>
        <v>563686</v>
      </c>
    </row>
    <row r="417" spans="2:5" x14ac:dyDescent="0.25">
      <c r="B417" s="5">
        <v>45505</v>
      </c>
      <c r="C417" s="6">
        <v>180360</v>
      </c>
      <c r="D417" s="6">
        <f t="shared" si="18"/>
        <v>544325</v>
      </c>
      <c r="E417" s="6">
        <f t="shared" si="19"/>
        <v>561276.5</v>
      </c>
    </row>
    <row r="418" spans="2:5" x14ac:dyDescent="0.25">
      <c r="B418" s="5">
        <v>45536</v>
      </c>
      <c r="C418" s="6">
        <v>178837</v>
      </c>
      <c r="D418" s="6">
        <f t="shared" si="18"/>
        <v>542427</v>
      </c>
      <c r="E418" s="6">
        <f t="shared" si="19"/>
        <v>559676.75</v>
      </c>
    </row>
    <row r="419" spans="2:5" x14ac:dyDescent="0.25">
      <c r="B419" s="5">
        <v>45566</v>
      </c>
      <c r="C419" s="6">
        <v>185282</v>
      </c>
      <c r="D419" s="6">
        <f t="shared" si="18"/>
        <v>544479</v>
      </c>
      <c r="E419" s="6">
        <f t="shared" si="19"/>
        <v>559027.75</v>
      </c>
    </row>
    <row r="420" spans="2:5" x14ac:dyDescent="0.25">
      <c r="B420" s="5">
        <v>45597</v>
      </c>
      <c r="C420" s="6">
        <v>175098</v>
      </c>
      <c r="D420" s="6">
        <f t="shared" si="18"/>
        <v>539217</v>
      </c>
      <c r="E420" s="6">
        <f t="shared" si="19"/>
        <v>553785.75</v>
      </c>
    </row>
    <row r="421" spans="2:5" x14ac:dyDescent="0.25">
      <c r="B421" s="5">
        <v>45627</v>
      </c>
      <c r="C421" s="6">
        <v>163524</v>
      </c>
      <c r="D421" s="6">
        <f t="shared" si="18"/>
        <v>523904</v>
      </c>
      <c r="E421" s="6">
        <f t="shared" si="19"/>
        <v>546205.25</v>
      </c>
    </row>
    <row r="422" spans="2:5" x14ac:dyDescent="0.25">
      <c r="B422" s="5">
        <v>45658</v>
      </c>
      <c r="C422" s="6">
        <v>158610</v>
      </c>
      <c r="D422" s="6">
        <f t="shared" si="18"/>
        <v>497232</v>
      </c>
      <c r="E422" s="6">
        <f t="shared" si="19"/>
        <v>540563.75</v>
      </c>
    </row>
    <row r="423" spans="2:5" x14ac:dyDescent="0.25">
      <c r="B423" s="5">
        <v>45689</v>
      </c>
      <c r="C423" s="6">
        <v>172228</v>
      </c>
      <c r="D423" s="6">
        <f t="shared" si="18"/>
        <v>494362</v>
      </c>
      <c r="E423" s="6">
        <f t="shared" si="19"/>
        <v>538214.25</v>
      </c>
    </row>
    <row r="424" spans="2:5" x14ac:dyDescent="0.25">
      <c r="B424" s="5">
        <v>45717</v>
      </c>
      <c r="C424" s="6">
        <v>186144</v>
      </c>
      <c r="D424" s="6">
        <f t="shared" si="18"/>
        <v>516982</v>
      </c>
      <c r="E424" s="6">
        <f t="shared" si="19"/>
        <v>536196.25</v>
      </c>
    </row>
    <row r="425" spans="2:5" x14ac:dyDescent="0.25">
      <c r="B425" s="5">
        <v>45748</v>
      </c>
      <c r="C425" s="6">
        <v>187662</v>
      </c>
      <c r="D425" s="6">
        <f t="shared" si="18"/>
        <v>546034</v>
      </c>
      <c r="E425" s="6">
        <f t="shared" si="19"/>
        <v>534839</v>
      </c>
    </row>
    <row r="426" spans="2:5" x14ac:dyDescent="0.25">
      <c r="B426" s="5">
        <v>45778</v>
      </c>
      <c r="C426" s="6">
        <v>187021</v>
      </c>
      <c r="D426" s="6">
        <f t="shared" si="18"/>
        <v>560827</v>
      </c>
      <c r="E426" s="6">
        <f t="shared" si="19"/>
        <v>534682.75</v>
      </c>
    </row>
    <row r="427" spans="2:5" x14ac:dyDescent="0.25">
      <c r="B427" s="5">
        <v>45809</v>
      </c>
      <c r="C427" s="6">
        <v>189079</v>
      </c>
      <c r="D427" s="6">
        <f t="shared" si="18"/>
        <v>563762</v>
      </c>
      <c r="E427" s="6">
        <f t="shared" si="19"/>
        <v>536768.75</v>
      </c>
    </row>
    <row r="428" spans="2:5" x14ac:dyDescent="0.25">
      <c r="B428" s="5">
        <v>45839</v>
      </c>
      <c r="C428" s="6">
        <v>197637</v>
      </c>
      <c r="D428" s="6">
        <f t="shared" si="18"/>
        <v>573737</v>
      </c>
      <c r="E428" s="6">
        <f t="shared" si="19"/>
        <v>540370.5</v>
      </c>
    </row>
    <row r="429" spans="2:5" x14ac:dyDescent="0.25">
      <c r="B429" s="5">
        <v>45870</v>
      </c>
      <c r="C429" s="6">
        <v>195392</v>
      </c>
      <c r="D429" s="6">
        <f t="shared" si="18"/>
        <v>582108</v>
      </c>
      <c r="E429" s="6">
        <f t="shared" si="19"/>
        <v>544128.5</v>
      </c>
    </row>
    <row r="430" spans="2:5" x14ac:dyDescent="0.25">
      <c r="B430" s="5">
        <v>45901</v>
      </c>
      <c r="C430" s="6">
        <v>200038</v>
      </c>
      <c r="D430" s="6">
        <f t="shared" si="18"/>
        <v>593067</v>
      </c>
      <c r="E430" s="6">
        <f t="shared" si="19"/>
        <v>549428.75</v>
      </c>
    </row>
    <row r="431" spans="2:5" x14ac:dyDescent="0.25">
      <c r="B431" s="5">
        <v>45931</v>
      </c>
      <c r="C431" s="6">
        <v>205622</v>
      </c>
      <c r="D431" s="6">
        <f t="shared" si="18"/>
        <v>601052</v>
      </c>
      <c r="E431" s="6">
        <f t="shared" si="19"/>
        <v>554513.75</v>
      </c>
    </row>
    <row r="432" spans="2:5" x14ac:dyDescent="0.25">
      <c r="B432" s="5">
        <v>45962</v>
      </c>
      <c r="C432" s="6">
        <v>202739</v>
      </c>
      <c r="D432" s="6">
        <f t="shared" si="18"/>
        <v>608399</v>
      </c>
      <c r="E432" s="6">
        <f t="shared" si="19"/>
        <v>561424</v>
      </c>
    </row>
    <row r="433" spans="2:5" x14ac:dyDescent="0.25">
      <c r="B433" s="5">
        <v>45992</v>
      </c>
      <c r="C433" s="6">
        <v>198721</v>
      </c>
      <c r="D433" s="6">
        <f t="shared" si="18"/>
        <v>607082</v>
      </c>
      <c r="E433" s="6">
        <f t="shared" si="19"/>
        <v>570223.25</v>
      </c>
    </row>
    <row r="434" spans="2:5" x14ac:dyDescent="0.25">
      <c r="B434" s="5">
        <v>46023</v>
      </c>
      <c r="C434" s="6">
        <v>192348</v>
      </c>
      <c r="D434" s="6">
        <f t="shared" si="18"/>
        <v>593808</v>
      </c>
      <c r="E434" s="6">
        <f t="shared" si="19"/>
        <v>578657.75</v>
      </c>
    </row>
    <row r="435" spans="2:5" x14ac:dyDescent="0.25">
      <c r="B435" s="5">
        <v>46054</v>
      </c>
      <c r="C435" s="6">
        <v>201926</v>
      </c>
      <c r="D435" s="6">
        <f t="shared" si="18"/>
        <v>592995</v>
      </c>
      <c r="E435" s="6">
        <f t="shared" si="19"/>
        <v>586082.25</v>
      </c>
    </row>
    <row r="436" spans="2:5" x14ac:dyDescent="0.25">
      <c r="B436" s="5">
        <v>46082</v>
      </c>
      <c r="C436" s="6">
        <v>223909</v>
      </c>
      <c r="D436" s="6">
        <f t="shared" si="18"/>
        <v>618183</v>
      </c>
      <c r="E436" s="6">
        <f t="shared" si="19"/>
        <v>595523.5</v>
      </c>
    </row>
    <row r="437" spans="2:5" x14ac:dyDescent="0.25">
      <c r="B437" s="5">
        <v>46113</v>
      </c>
      <c r="C437" s="6">
        <v>229361</v>
      </c>
      <c r="D437" s="6">
        <f t="shared" si="18"/>
        <v>655196</v>
      </c>
      <c r="E437" s="6">
        <f t="shared" si="19"/>
        <v>605948.25</v>
      </c>
    </row>
    <row r="438" spans="2:5" x14ac:dyDescent="0.25">
      <c r="B438" s="5">
        <v>46143</v>
      </c>
      <c r="C438" s="6">
        <v>228141</v>
      </c>
      <c r="D438" s="6">
        <f t="shared" si="18"/>
        <v>681411</v>
      </c>
      <c r="E438" s="6">
        <f t="shared" si="19"/>
        <v>616228.25</v>
      </c>
    </row>
    <row r="439" spans="2:5" x14ac:dyDescent="0.25">
      <c r="B439" s="5">
        <v>46174</v>
      </c>
      <c r="C439" s="6">
        <v>221267</v>
      </c>
      <c r="D439" s="6">
        <f t="shared" si="18"/>
        <v>678769</v>
      </c>
      <c r="E439" s="6">
        <f t="shared" si="19"/>
        <v>624275.25</v>
      </c>
    </row>
    <row r="440" spans="2:5" x14ac:dyDescent="0.25">
      <c r="B440" t="s">
        <v>1059</v>
      </c>
      <c r="C440" t="s">
        <v>1199</v>
      </c>
      <c r="D440" s="6">
        <f t="shared" si="18"/>
        <v>449408</v>
      </c>
      <c r="E440" s="6">
        <f t="shared" si="19"/>
        <v>574866</v>
      </c>
    </row>
  </sheetData>
  <pageMargins left="0.511811024" right="0.511811024" top="0.78740157499999996" bottom="0.78740157499999996" header="0.31496062000000002" footer="0.31496062000000002"/>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87EC5-1963-4998-8877-C8FA3FCC8A94}">
  <dimension ref="A1:V144"/>
  <sheetViews>
    <sheetView topLeftCell="A100" zoomScaleNormal="100" workbookViewId="0">
      <selection activeCell="H130" sqref="H1:H1048576"/>
    </sheetView>
  </sheetViews>
  <sheetFormatPr defaultColWidth="8.7109375" defaultRowHeight="15" x14ac:dyDescent="0.25"/>
  <cols>
    <col min="1" max="1" width="12" style="9" customWidth="1"/>
    <col min="2" max="2" width="11" style="9" customWidth="1"/>
    <col min="3" max="3" width="7.140625" style="9" customWidth="1"/>
    <col min="4" max="5" width="16" style="9" customWidth="1"/>
    <col min="6" max="6" width="10" style="9" customWidth="1"/>
    <col min="7" max="7" width="10" style="27" customWidth="1"/>
    <col min="8" max="21" width="8.7109375" style="9"/>
    <col min="22" max="22" width="15.7109375" style="9" bestFit="1" customWidth="1"/>
    <col min="23" max="16384" width="8.7109375" style="9"/>
  </cols>
  <sheetData>
    <row r="1" spans="1:22" x14ac:dyDescent="0.25">
      <c r="A1" s="8" t="s">
        <v>1203</v>
      </c>
      <c r="B1" s="8" t="s">
        <v>1232</v>
      </c>
      <c r="C1" s="8" t="s">
        <v>1204</v>
      </c>
      <c r="D1" s="8" t="s">
        <v>1205</v>
      </c>
      <c r="E1" s="8" t="s">
        <v>1206</v>
      </c>
      <c r="F1" s="8" t="s">
        <v>1207</v>
      </c>
      <c r="G1" s="25" t="s">
        <v>1208</v>
      </c>
    </row>
    <row r="2" spans="1:22" x14ac:dyDescent="0.25">
      <c r="A2" s="10">
        <v>33970</v>
      </c>
      <c r="B2" s="11">
        <v>70.990911724320299</v>
      </c>
      <c r="C2" s="11">
        <v>3.01</v>
      </c>
      <c r="D2" s="12">
        <f t="shared" ref="D2:D65" si="0">1+C2/100</f>
        <v>1.0301</v>
      </c>
      <c r="E2" s="12"/>
      <c r="F2" s="12" t="str">
        <f t="shared" ref="F2:F65" si="1">IF(E2="","",D2/E2)</f>
        <v/>
      </c>
      <c r="G2" s="26" t="str">
        <f t="shared" ref="G2:G65" si="2">IF(F2="","",LN(F2))</f>
        <v/>
      </c>
    </row>
    <row r="3" spans="1:22" x14ac:dyDescent="0.25">
      <c r="A3" s="10">
        <v>34060</v>
      </c>
      <c r="B3" s="11">
        <v>71.413618723982793</v>
      </c>
      <c r="C3" s="11">
        <v>3.14</v>
      </c>
      <c r="D3" s="12">
        <f t="shared" si="0"/>
        <v>1.0314000000000001</v>
      </c>
      <c r="E3" s="12"/>
      <c r="F3" s="12" t="str">
        <f t="shared" si="1"/>
        <v/>
      </c>
      <c r="G3" s="26" t="str">
        <f t="shared" si="2"/>
        <v/>
      </c>
    </row>
    <row r="4" spans="1:22" x14ac:dyDescent="0.25">
      <c r="A4" s="10">
        <v>34151</v>
      </c>
      <c r="B4" s="11">
        <v>71.838146130804205</v>
      </c>
      <c r="C4" s="11">
        <v>3.01</v>
      </c>
      <c r="D4" s="12">
        <f t="shared" si="0"/>
        <v>1.0301</v>
      </c>
      <c r="E4" s="12"/>
      <c r="F4" s="12" t="str">
        <f t="shared" si="1"/>
        <v/>
      </c>
      <c r="G4" s="26" t="str">
        <f t="shared" si="2"/>
        <v/>
      </c>
    </row>
    <row r="5" spans="1:22" x14ac:dyDescent="0.25">
      <c r="A5" s="10">
        <v>34243</v>
      </c>
      <c r="B5" s="11">
        <v>72.229823356336595</v>
      </c>
      <c r="C5" s="11">
        <v>3.13</v>
      </c>
      <c r="D5" s="12">
        <f t="shared" si="0"/>
        <v>1.0313000000000001</v>
      </c>
      <c r="E5" s="12"/>
      <c r="F5" s="12" t="str">
        <f t="shared" si="1"/>
        <v/>
      </c>
      <c r="G5" s="26" t="str">
        <f t="shared" si="2"/>
        <v/>
      </c>
      <c r="S5" s="9" t="s">
        <v>1234</v>
      </c>
      <c r="V5" s="9" t="s">
        <v>1233</v>
      </c>
    </row>
    <row r="6" spans="1:22" x14ac:dyDescent="0.25">
      <c r="A6" s="10">
        <v>34335</v>
      </c>
      <c r="B6" s="11">
        <v>72.575127048273103</v>
      </c>
      <c r="C6" s="11">
        <v>3.59</v>
      </c>
      <c r="D6" s="12">
        <f t="shared" si="0"/>
        <v>1.0359</v>
      </c>
      <c r="E6" s="12">
        <f t="shared" ref="E6:E69" si="3">B6/B2</f>
        <v>1.022315748389101</v>
      </c>
      <c r="F6" s="12">
        <f t="shared" si="1"/>
        <v>1.0132877260594921</v>
      </c>
      <c r="G6" s="26">
        <f t="shared" si="2"/>
        <v>1.3200218559034443E-2</v>
      </c>
      <c r="S6" s="9">
        <v>1.1527265497524921E-2</v>
      </c>
      <c r="V6" s="9">
        <v>7.1739999999999998E-3</v>
      </c>
    </row>
    <row r="7" spans="1:22" x14ac:dyDescent="0.25">
      <c r="A7" s="10">
        <v>34425</v>
      </c>
      <c r="B7" s="11">
        <v>72.925812162216104</v>
      </c>
      <c r="C7" s="11">
        <v>4.25</v>
      </c>
      <c r="D7" s="12">
        <f t="shared" si="0"/>
        <v>1.0425</v>
      </c>
      <c r="E7" s="12">
        <f t="shared" si="3"/>
        <v>1.0211751408940362</v>
      </c>
      <c r="F7" s="12">
        <f t="shared" si="1"/>
        <v>1.0208826657171599</v>
      </c>
      <c r="G7" s="26">
        <f t="shared" si="2"/>
        <v>2.0667611635574644E-2</v>
      </c>
      <c r="S7" s="9">
        <v>1.86209292488233E-2</v>
      </c>
      <c r="V7" s="9">
        <v>1.9243799999999998E-2</v>
      </c>
    </row>
    <row r="8" spans="1:22" x14ac:dyDescent="0.25">
      <c r="A8" s="10">
        <v>34516</v>
      </c>
      <c r="B8" s="11">
        <v>73.343797397028993</v>
      </c>
      <c r="C8" s="11">
        <v>4.75</v>
      </c>
      <c r="D8" s="12">
        <f t="shared" si="0"/>
        <v>1.0475000000000001</v>
      </c>
      <c r="E8" s="12">
        <f t="shared" si="3"/>
        <v>1.0209589382148485</v>
      </c>
      <c r="F8" s="12">
        <f t="shared" si="1"/>
        <v>1.0259962088500432</v>
      </c>
      <c r="G8" s="26">
        <f t="shared" si="2"/>
        <v>2.5664051663820339E-2</v>
      </c>
      <c r="S8" s="9">
        <v>2.443790359809905E-2</v>
      </c>
      <c r="V8" s="9">
        <v>2.54314E-2</v>
      </c>
    </row>
    <row r="9" spans="1:22" x14ac:dyDescent="0.25">
      <c r="A9" s="10">
        <v>34608</v>
      </c>
      <c r="B9" s="11">
        <v>73.741722134685602</v>
      </c>
      <c r="C9" s="11">
        <v>5.76</v>
      </c>
      <c r="D9" s="12">
        <f t="shared" si="0"/>
        <v>1.0576000000000001</v>
      </c>
      <c r="E9" s="12">
        <f t="shared" si="3"/>
        <v>1.020931780088818</v>
      </c>
      <c r="F9" s="12">
        <f t="shared" si="1"/>
        <v>1.0359164251973743</v>
      </c>
      <c r="G9" s="26">
        <f t="shared" si="2"/>
        <v>3.5286469924333548E-2</v>
      </c>
      <c r="S9" s="9">
        <v>3.4665802374103549E-2</v>
      </c>
      <c r="V9" s="9">
        <v>3.20287E-2</v>
      </c>
    </row>
    <row r="10" spans="1:22" x14ac:dyDescent="0.25">
      <c r="A10" s="10">
        <v>34700</v>
      </c>
      <c r="B10" s="11">
        <v>74.141403638937803</v>
      </c>
      <c r="C10" s="11">
        <v>5.91</v>
      </c>
      <c r="D10" s="12">
        <f t="shared" si="0"/>
        <v>1.0590999999999999</v>
      </c>
      <c r="E10" s="12">
        <f t="shared" si="3"/>
        <v>1.0215814515849611</v>
      </c>
      <c r="F10" s="12">
        <f t="shared" si="1"/>
        <v>1.0367259491221474</v>
      </c>
      <c r="G10" s="26">
        <f t="shared" si="2"/>
        <v>3.6067621536369956E-2</v>
      </c>
      <c r="S10" s="9">
        <v>3.5630582752461233E-2</v>
      </c>
      <c r="V10" s="9">
        <v>4.0839E-2</v>
      </c>
    </row>
    <row r="11" spans="1:22" x14ac:dyDescent="0.25">
      <c r="A11" s="10">
        <v>34790</v>
      </c>
      <c r="B11" s="11">
        <v>74.497799169927106</v>
      </c>
      <c r="C11" s="11">
        <v>5.64</v>
      </c>
      <c r="D11" s="12">
        <f t="shared" si="0"/>
        <v>1.0564</v>
      </c>
      <c r="E11" s="12">
        <f t="shared" si="3"/>
        <v>1.02155597532756</v>
      </c>
      <c r="F11" s="12">
        <f t="shared" si="1"/>
        <v>1.0341087767229469</v>
      </c>
      <c r="G11" s="26">
        <f t="shared" si="2"/>
        <v>3.353997047859382E-2</v>
      </c>
      <c r="S11" s="9">
        <v>3.217896346349014E-2</v>
      </c>
      <c r="V11" s="9">
        <v>3.9385700000000003E-2</v>
      </c>
    </row>
    <row r="12" spans="1:22" x14ac:dyDescent="0.25">
      <c r="A12" s="10">
        <v>34881</v>
      </c>
      <c r="B12" s="11">
        <v>74.864511965021194</v>
      </c>
      <c r="C12" s="11">
        <v>5.43</v>
      </c>
      <c r="D12" s="12">
        <f t="shared" si="0"/>
        <v>1.0543</v>
      </c>
      <c r="E12" s="12">
        <f t="shared" si="3"/>
        <v>1.0207340582566264</v>
      </c>
      <c r="F12" s="12">
        <f t="shared" si="1"/>
        <v>1.0328841204737529</v>
      </c>
      <c r="G12" s="26">
        <f t="shared" si="2"/>
        <v>3.235500618176048E-2</v>
      </c>
      <c r="S12" s="9">
        <v>3.092178213872598E-2</v>
      </c>
      <c r="V12" s="9">
        <v>3.5532599999999998E-2</v>
      </c>
    </row>
    <row r="13" spans="1:22" x14ac:dyDescent="0.25">
      <c r="A13" s="10">
        <v>34973</v>
      </c>
      <c r="B13" s="11">
        <v>75.225376288385704</v>
      </c>
      <c r="C13" s="11">
        <v>5.29</v>
      </c>
      <c r="D13" s="12">
        <f t="shared" si="0"/>
        <v>1.0528999999999999</v>
      </c>
      <c r="E13" s="12">
        <f t="shared" si="3"/>
        <v>1.0201196027262596</v>
      </c>
      <c r="F13" s="12">
        <f t="shared" si="1"/>
        <v>1.0321338764456003</v>
      </c>
      <c r="G13" s="26">
        <f t="shared" si="2"/>
        <v>3.1628383883764703E-2</v>
      </c>
      <c r="S13" s="9">
        <v>3.0224803165235459E-2</v>
      </c>
      <c r="V13" s="9">
        <v>3.8806E-2</v>
      </c>
    </row>
    <row r="14" spans="1:22" x14ac:dyDescent="0.25">
      <c r="A14" s="10">
        <v>35065</v>
      </c>
      <c r="B14" s="11">
        <v>75.587166082018996</v>
      </c>
      <c r="C14" s="11">
        <v>5.0999999999999996</v>
      </c>
      <c r="D14" s="12">
        <f t="shared" si="0"/>
        <v>1.0509999999999999</v>
      </c>
      <c r="E14" s="12">
        <f t="shared" si="3"/>
        <v>1.0195000684114632</v>
      </c>
      <c r="F14" s="12">
        <f t="shared" si="1"/>
        <v>1.0308974295976443</v>
      </c>
      <c r="G14" s="26">
        <f t="shared" si="2"/>
        <v>3.0429713759487879E-2</v>
      </c>
      <c r="S14" s="9">
        <v>2.904860423469913E-2</v>
      </c>
      <c r="V14" s="9">
        <v>3.01179E-2</v>
      </c>
    </row>
    <row r="15" spans="1:22" x14ac:dyDescent="0.25">
      <c r="A15" s="10">
        <v>35156</v>
      </c>
      <c r="B15" s="11">
        <v>75.900206121671204</v>
      </c>
      <c r="C15" s="11">
        <v>5.23</v>
      </c>
      <c r="D15" s="12">
        <f t="shared" si="0"/>
        <v>1.0523</v>
      </c>
      <c r="E15" s="12">
        <f t="shared" si="3"/>
        <v>1.0188248104960156</v>
      </c>
      <c r="F15" s="12">
        <f t="shared" si="1"/>
        <v>1.0328566689377019</v>
      </c>
      <c r="G15" s="26">
        <f t="shared" si="2"/>
        <v>3.2328428272089219E-2</v>
      </c>
      <c r="S15" s="9">
        <v>3.0654123502062539E-2</v>
      </c>
      <c r="V15" s="9">
        <v>3.3242899999999999E-2</v>
      </c>
    </row>
    <row r="16" spans="1:22" x14ac:dyDescent="0.25">
      <c r="A16" s="10">
        <v>35247</v>
      </c>
      <c r="B16" s="11">
        <v>76.148470632459706</v>
      </c>
      <c r="C16" s="11">
        <v>5.24</v>
      </c>
      <c r="D16" s="12">
        <f t="shared" si="0"/>
        <v>1.0524</v>
      </c>
      <c r="E16" s="12">
        <f t="shared" si="3"/>
        <v>1.0171504312756146</v>
      </c>
      <c r="F16" s="12">
        <f t="shared" si="1"/>
        <v>1.0346552168101415</v>
      </c>
      <c r="G16" s="26">
        <f t="shared" si="2"/>
        <v>3.4068247364319786E-2</v>
      </c>
      <c r="S16" s="9">
        <v>3.1265466762345977E-2</v>
      </c>
      <c r="V16" s="9">
        <v>3.8177900000000001E-2</v>
      </c>
    </row>
    <row r="17" spans="1:22" x14ac:dyDescent="0.25">
      <c r="A17" s="10">
        <v>35339</v>
      </c>
      <c r="B17" s="11">
        <v>76.555627522521803</v>
      </c>
      <c r="C17" s="11">
        <v>5.04</v>
      </c>
      <c r="D17" s="12">
        <f t="shared" si="0"/>
        <v>1.0504</v>
      </c>
      <c r="E17" s="12">
        <f t="shared" si="3"/>
        <v>1.0176835437690124</v>
      </c>
      <c r="F17" s="12">
        <f t="shared" si="1"/>
        <v>1.0321479662624999</v>
      </c>
      <c r="G17" s="26">
        <f t="shared" si="2"/>
        <v>3.164203494304195E-2</v>
      </c>
      <c r="S17" s="9">
        <v>3.1492383653608291E-2</v>
      </c>
      <c r="V17" s="9">
        <v>3.3572100000000001E-2</v>
      </c>
    </row>
    <row r="18" spans="1:22" x14ac:dyDescent="0.25">
      <c r="A18" s="10">
        <v>35431</v>
      </c>
      <c r="B18" s="11">
        <v>77.012138782085003</v>
      </c>
      <c r="C18" s="11">
        <v>5.28</v>
      </c>
      <c r="D18" s="12">
        <f t="shared" si="0"/>
        <v>1.0528</v>
      </c>
      <c r="E18" s="12">
        <f t="shared" si="3"/>
        <v>1.0188520455776815</v>
      </c>
      <c r="F18" s="12">
        <f t="shared" si="1"/>
        <v>1.0333198078854229</v>
      </c>
      <c r="G18" s="26">
        <f t="shared" si="2"/>
        <v>3.2776733594188139E-2</v>
      </c>
      <c r="S18" s="9">
        <v>3.3611494996828251E-2</v>
      </c>
      <c r="V18" s="9">
        <v>3.28583E-2</v>
      </c>
    </row>
    <row r="19" spans="1:22" x14ac:dyDescent="0.25">
      <c r="A19" s="10">
        <v>35521</v>
      </c>
      <c r="B19" s="11">
        <v>77.165344314156897</v>
      </c>
      <c r="C19" s="11">
        <v>5.07</v>
      </c>
      <c r="D19" s="12">
        <f t="shared" si="0"/>
        <v>1.0507</v>
      </c>
      <c r="E19" s="12">
        <f t="shared" si="3"/>
        <v>1.016668442118031</v>
      </c>
      <c r="F19" s="12">
        <f t="shared" si="1"/>
        <v>1.0334736050339783</v>
      </c>
      <c r="G19" s="26">
        <f t="shared" si="2"/>
        <v>3.2925560417302595E-2</v>
      </c>
      <c r="S19" s="9">
        <v>3.072521259214489E-2</v>
      </c>
      <c r="V19" s="9">
        <v>3.69045E-2</v>
      </c>
    </row>
    <row r="20" spans="1:22" x14ac:dyDescent="0.25">
      <c r="A20" s="10">
        <v>35612</v>
      </c>
      <c r="B20" s="11">
        <v>77.502043857558704</v>
      </c>
      <c r="C20" s="11">
        <v>5.08</v>
      </c>
      <c r="D20" s="12">
        <f t="shared" si="0"/>
        <v>1.0508</v>
      </c>
      <c r="E20" s="12">
        <f t="shared" si="3"/>
        <v>1.0177754485921613</v>
      </c>
      <c r="F20" s="12">
        <f t="shared" si="1"/>
        <v>1.0324477776050895</v>
      </c>
      <c r="G20" s="26">
        <f t="shared" si="2"/>
        <v>3.1932465983198412E-2</v>
      </c>
      <c r="S20" s="9">
        <v>3.2048953695744231E-2</v>
      </c>
      <c r="V20" s="9">
        <v>3.5008400000000002E-2</v>
      </c>
    </row>
    <row r="21" spans="1:22" x14ac:dyDescent="0.25">
      <c r="A21" s="10">
        <v>35704</v>
      </c>
      <c r="B21" s="11">
        <v>77.760320277230605</v>
      </c>
      <c r="C21" s="11">
        <v>5.3</v>
      </c>
      <c r="D21" s="12">
        <f t="shared" si="0"/>
        <v>1.0529999999999999</v>
      </c>
      <c r="E21" s="12">
        <f t="shared" si="3"/>
        <v>1.0157361750363081</v>
      </c>
      <c r="F21" s="12">
        <f t="shared" si="1"/>
        <v>1.0366865194718105</v>
      </c>
      <c r="G21" s="26">
        <f t="shared" si="2"/>
        <v>3.6029587955556698E-2</v>
      </c>
      <c r="S21" s="9">
        <v>3.3329424699565458E-2</v>
      </c>
      <c r="V21" s="9">
        <v>3.49282E-2</v>
      </c>
    </row>
    <row r="22" spans="1:22" x14ac:dyDescent="0.25">
      <c r="A22" s="10">
        <v>35796</v>
      </c>
      <c r="B22" s="11">
        <v>77.870848323793595</v>
      </c>
      <c r="C22" s="11">
        <v>5.16</v>
      </c>
      <c r="D22" s="12">
        <f t="shared" si="0"/>
        <v>1.0516000000000001</v>
      </c>
      <c r="E22" s="12">
        <f t="shared" si="3"/>
        <v>1.0111503141620104</v>
      </c>
      <c r="F22" s="12">
        <f t="shared" si="1"/>
        <v>1.0400036327650379</v>
      </c>
      <c r="G22" s="26">
        <f t="shared" si="2"/>
        <v>3.922420619048634E-2</v>
      </c>
      <c r="S22" s="9">
        <v>3.386543279093801E-2</v>
      </c>
      <c r="V22" s="9">
        <v>3.5303500000000002E-2</v>
      </c>
    </row>
    <row r="23" spans="1:22" x14ac:dyDescent="0.25">
      <c r="A23" s="10">
        <v>35886</v>
      </c>
      <c r="B23" s="11">
        <v>78.054837051206405</v>
      </c>
      <c r="C23" s="11">
        <v>5.12</v>
      </c>
      <c r="D23" s="12">
        <f t="shared" si="0"/>
        <v>1.0511999999999999</v>
      </c>
      <c r="E23" s="12">
        <f t="shared" si="3"/>
        <v>1.0115271012519322</v>
      </c>
      <c r="F23" s="12">
        <f t="shared" si="1"/>
        <v>1.0392207966538571</v>
      </c>
      <c r="G23" s="26">
        <f t="shared" si="2"/>
        <v>3.8471198350548685E-2</v>
      </c>
      <c r="S23" s="9">
        <v>3.8100980828679409E-2</v>
      </c>
      <c r="V23" s="9">
        <v>3.94662E-2</v>
      </c>
    </row>
    <row r="24" spans="1:22" x14ac:dyDescent="0.25">
      <c r="A24" s="10">
        <v>35977</v>
      </c>
      <c r="B24" s="11">
        <v>78.385485922210606</v>
      </c>
      <c r="C24" s="11">
        <v>4.74</v>
      </c>
      <c r="D24" s="12">
        <f t="shared" si="0"/>
        <v>1.0474000000000001</v>
      </c>
      <c r="E24" s="12">
        <f t="shared" si="3"/>
        <v>1.0113989518299102</v>
      </c>
      <c r="F24" s="12">
        <f t="shared" si="1"/>
        <v>1.0355952990706128</v>
      </c>
      <c r="G24" s="26">
        <f t="shared" si="2"/>
        <v>3.4976429555677341E-2</v>
      </c>
      <c r="S24" s="9">
        <v>3.5064237292439022E-2</v>
      </c>
      <c r="V24" s="9">
        <v>4.4738699999999999E-2</v>
      </c>
    </row>
    <row r="25" spans="1:22" x14ac:dyDescent="0.25">
      <c r="A25" s="10">
        <v>36069</v>
      </c>
      <c r="B25" s="11">
        <v>78.606382555270201</v>
      </c>
      <c r="C25" s="11">
        <v>4.5</v>
      </c>
      <c r="D25" s="12">
        <f t="shared" si="0"/>
        <v>1.0449999999999999</v>
      </c>
      <c r="E25" s="12">
        <f t="shared" si="3"/>
        <v>1.010880385716304</v>
      </c>
      <c r="F25" s="12">
        <f t="shared" si="1"/>
        <v>1.0337523754202818</v>
      </c>
      <c r="G25" s="26">
        <f t="shared" si="2"/>
        <v>3.31952652203856E-2</v>
      </c>
      <c r="S25" s="9">
        <v>3.271729039928184E-2</v>
      </c>
      <c r="V25" s="9">
        <v>3.3406699999999998E-2</v>
      </c>
    </row>
    <row r="26" spans="1:22" x14ac:dyDescent="0.25">
      <c r="A26" s="10">
        <v>36161</v>
      </c>
      <c r="B26" s="11">
        <v>78.860936102052307</v>
      </c>
      <c r="C26" s="11">
        <v>4.57</v>
      </c>
      <c r="D26" s="12">
        <f t="shared" si="0"/>
        <v>1.0457000000000001</v>
      </c>
      <c r="E26" s="12">
        <f t="shared" si="3"/>
        <v>1.0127144855818424</v>
      </c>
      <c r="F26" s="12">
        <f t="shared" si="1"/>
        <v>1.0325713860004739</v>
      </c>
      <c r="G26" s="26">
        <f t="shared" si="2"/>
        <v>3.2052182446571272E-2</v>
      </c>
      <c r="S26" s="9">
        <v>3.3417820533834242E-2</v>
      </c>
      <c r="V26" s="9">
        <v>3.2852899999999997E-2</v>
      </c>
    </row>
    <row r="27" spans="1:22" x14ac:dyDescent="0.25">
      <c r="A27" s="10">
        <v>36251</v>
      </c>
      <c r="B27" s="11">
        <v>79.1597921792048</v>
      </c>
      <c r="C27" s="11">
        <v>4.72</v>
      </c>
      <c r="D27" s="12">
        <f t="shared" si="0"/>
        <v>1.0471999999999999</v>
      </c>
      <c r="E27" s="12">
        <f t="shared" si="3"/>
        <v>1.0141561390650717</v>
      </c>
      <c r="F27" s="12">
        <f t="shared" si="1"/>
        <v>1.0325826168792811</v>
      </c>
      <c r="G27" s="26">
        <f t="shared" si="2"/>
        <v>3.2063058999885569E-2</v>
      </c>
      <c r="S27" s="9">
        <v>3.2265978902423997E-2</v>
      </c>
      <c r="V27" s="9">
        <v>3.3395899999999999E-2</v>
      </c>
    </row>
    <row r="28" spans="1:22" x14ac:dyDescent="0.25">
      <c r="A28" s="10">
        <v>36342</v>
      </c>
      <c r="B28" s="11">
        <v>79.439521921262994</v>
      </c>
      <c r="C28" s="11">
        <v>4.82</v>
      </c>
      <c r="D28" s="12">
        <f t="shared" si="0"/>
        <v>1.0482</v>
      </c>
      <c r="E28" s="12">
        <f t="shared" si="3"/>
        <v>1.0134468261139367</v>
      </c>
      <c r="F28" s="12">
        <f t="shared" si="1"/>
        <v>1.03429205459089</v>
      </c>
      <c r="G28" s="26">
        <f t="shared" si="2"/>
        <v>3.3717187452836084E-2</v>
      </c>
      <c r="S28" s="9">
        <v>3.2099151375572621E-2</v>
      </c>
      <c r="V28" s="9">
        <v>3.7542699999999998E-2</v>
      </c>
    </row>
    <row r="29" spans="1:22" x14ac:dyDescent="0.25">
      <c r="A29" s="10">
        <v>36434</v>
      </c>
      <c r="B29" s="11">
        <v>79.880211581538305</v>
      </c>
      <c r="C29" s="11">
        <v>5.36</v>
      </c>
      <c r="D29" s="12">
        <f t="shared" si="0"/>
        <v>1.0536000000000001</v>
      </c>
      <c r="E29" s="12">
        <f t="shared" si="3"/>
        <v>1.016205160253653</v>
      </c>
      <c r="F29" s="12">
        <f t="shared" si="1"/>
        <v>1.036798513930999</v>
      </c>
      <c r="G29" s="26">
        <f t="shared" si="2"/>
        <v>3.6137613292121236E-2</v>
      </c>
      <c r="S29" s="9">
        <v>3.7306346415254321E-2</v>
      </c>
      <c r="V29" s="9">
        <v>3.7716800000000002E-2</v>
      </c>
    </row>
    <row r="30" spans="1:22" x14ac:dyDescent="0.25">
      <c r="A30" s="10">
        <v>36526</v>
      </c>
      <c r="B30" s="11">
        <v>80.411557448755005</v>
      </c>
      <c r="C30" s="11">
        <v>5.86</v>
      </c>
      <c r="D30" s="12">
        <f t="shared" si="0"/>
        <v>1.0586</v>
      </c>
      <c r="E30" s="12">
        <f t="shared" si="3"/>
        <v>1.0196627306667534</v>
      </c>
      <c r="F30" s="12">
        <f t="shared" si="1"/>
        <v>1.0381864200408557</v>
      </c>
      <c r="G30" s="26">
        <f t="shared" si="2"/>
        <v>3.7475364033453563E-2</v>
      </c>
      <c r="S30" s="9">
        <v>4.0604676308112257E-2</v>
      </c>
      <c r="V30" s="9">
        <v>3.8617199999999997E-2</v>
      </c>
    </row>
    <row r="31" spans="1:22" x14ac:dyDescent="0.25">
      <c r="A31" s="10">
        <v>36617</v>
      </c>
      <c r="B31" s="11">
        <v>80.911921313846605</v>
      </c>
      <c r="C31" s="11">
        <v>5.86</v>
      </c>
      <c r="D31" s="12">
        <f t="shared" si="0"/>
        <v>1.0586</v>
      </c>
      <c r="E31" s="12">
        <f t="shared" si="3"/>
        <v>1.022134079516976</v>
      </c>
      <c r="F31" s="12">
        <f t="shared" si="1"/>
        <v>1.0356762593223157</v>
      </c>
      <c r="G31" s="26">
        <f t="shared" si="2"/>
        <v>3.505460400017843E-2</v>
      </c>
      <c r="S31" s="9">
        <v>3.69118092773979E-2</v>
      </c>
      <c r="V31" s="9">
        <v>4.4003599999999997E-2</v>
      </c>
    </row>
    <row r="32" spans="1:22" x14ac:dyDescent="0.25">
      <c r="A32" s="10">
        <v>36708</v>
      </c>
      <c r="B32" s="11">
        <v>81.385170585723003</v>
      </c>
      <c r="C32" s="11">
        <v>6.18</v>
      </c>
      <c r="D32" s="12">
        <f t="shared" si="0"/>
        <v>1.0618000000000001</v>
      </c>
      <c r="E32" s="12">
        <f t="shared" si="3"/>
        <v>1.0244922000712497</v>
      </c>
      <c r="F32" s="12">
        <f t="shared" si="1"/>
        <v>1.0364158945535706</v>
      </c>
      <c r="G32" s="26">
        <f t="shared" si="2"/>
        <v>3.5768505900038203E-2</v>
      </c>
      <c r="S32" s="9">
        <v>3.7520857580398248E-2</v>
      </c>
      <c r="V32" s="9">
        <v>3.9861000000000001E-2</v>
      </c>
    </row>
    <row r="33" spans="1:22" x14ac:dyDescent="0.25">
      <c r="A33" s="10">
        <v>36800</v>
      </c>
      <c r="B33" s="11">
        <v>81.824058167029904</v>
      </c>
      <c r="C33" s="11">
        <v>5.94</v>
      </c>
      <c r="D33" s="12">
        <f t="shared" si="0"/>
        <v>1.0593999999999999</v>
      </c>
      <c r="E33" s="12">
        <f t="shared" si="3"/>
        <v>1.0243345197390645</v>
      </c>
      <c r="F33" s="12">
        <f t="shared" si="1"/>
        <v>1.0342324500299647</v>
      </c>
      <c r="G33" s="26">
        <f t="shared" si="2"/>
        <v>3.3659557426400623E-2</v>
      </c>
      <c r="S33" s="9">
        <v>3.2350527046107302E-2</v>
      </c>
      <c r="V33" s="9">
        <v>4.3177899999999998E-2</v>
      </c>
    </row>
    <row r="34" spans="1:22" x14ac:dyDescent="0.25">
      <c r="A34" s="10">
        <v>36892</v>
      </c>
      <c r="B34" s="11">
        <v>82.364454528845499</v>
      </c>
      <c r="C34" s="11">
        <v>4.54</v>
      </c>
      <c r="D34" s="12">
        <f t="shared" si="0"/>
        <v>1.0454000000000001</v>
      </c>
      <c r="E34" s="12">
        <f t="shared" si="3"/>
        <v>1.0242862735414004</v>
      </c>
      <c r="F34" s="12">
        <f t="shared" si="1"/>
        <v>1.0206131108109069</v>
      </c>
      <c r="G34" s="26">
        <f t="shared" si="2"/>
        <v>2.0403535744829553E-2</v>
      </c>
      <c r="S34" s="9">
        <v>1.8347832929782149E-2</v>
      </c>
      <c r="V34" s="9">
        <v>4.0440200000000003E-2</v>
      </c>
    </row>
    <row r="35" spans="1:22" x14ac:dyDescent="0.25">
      <c r="A35" s="10">
        <v>36982</v>
      </c>
      <c r="B35" s="11">
        <v>82.859956123276504</v>
      </c>
      <c r="C35" s="11">
        <v>3.57</v>
      </c>
      <c r="D35" s="12">
        <f t="shared" si="0"/>
        <v>1.0357000000000001</v>
      </c>
      <c r="E35" s="12">
        <f t="shared" si="3"/>
        <v>1.0240759924841449</v>
      </c>
      <c r="F35" s="12">
        <f t="shared" si="1"/>
        <v>1.0113507274862077</v>
      </c>
      <c r="G35" s="26">
        <f t="shared" si="2"/>
        <v>1.1286791338612887E-2</v>
      </c>
      <c r="S35" s="9">
        <v>1.042521442061317E-2</v>
      </c>
      <c r="V35" s="9">
        <v>2.2131100000000001E-2</v>
      </c>
    </row>
    <row r="36" spans="1:22" x14ac:dyDescent="0.25">
      <c r="A36" s="10">
        <v>37073</v>
      </c>
      <c r="B36" s="11">
        <v>83.1855687563408</v>
      </c>
      <c r="C36" s="11">
        <v>2.69</v>
      </c>
      <c r="D36" s="12">
        <f t="shared" si="0"/>
        <v>1.0268999999999999</v>
      </c>
      <c r="E36" s="12">
        <f t="shared" si="3"/>
        <v>1.0221219438094244</v>
      </c>
      <c r="F36" s="12">
        <f t="shared" si="1"/>
        <v>1.0046746439791399</v>
      </c>
      <c r="G36" s="26">
        <f t="shared" si="2"/>
        <v>4.6637517626065004E-3</v>
      </c>
      <c r="S36" s="9">
        <v>8.5893821379090518E-4</v>
      </c>
      <c r="V36" s="9">
        <v>1.9403199999999999E-2</v>
      </c>
    </row>
    <row r="37" spans="1:22" x14ac:dyDescent="0.25">
      <c r="A37" s="10">
        <v>37165</v>
      </c>
      <c r="B37" s="11">
        <v>83.446420928582896</v>
      </c>
      <c r="C37" s="11">
        <v>1.72</v>
      </c>
      <c r="D37" s="12">
        <f t="shared" si="0"/>
        <v>1.0172000000000001</v>
      </c>
      <c r="E37" s="12">
        <f t="shared" si="3"/>
        <v>1.0198274541485246</v>
      </c>
      <c r="F37" s="12">
        <f t="shared" si="1"/>
        <v>0.99742362873460966</v>
      </c>
      <c r="G37" s="26">
        <f t="shared" si="2"/>
        <v>-2.5796958212600347E-3</v>
      </c>
      <c r="S37" s="9">
        <v>-5.2457415014586228E-3</v>
      </c>
      <c r="V37" s="9">
        <v>-6.3139999999999995E-4</v>
      </c>
    </row>
    <row r="38" spans="1:22" x14ac:dyDescent="0.25">
      <c r="A38" s="10">
        <v>37257</v>
      </c>
      <c r="B38" s="11">
        <v>83.709382789100403</v>
      </c>
      <c r="C38" s="11">
        <v>1.83</v>
      </c>
      <c r="D38" s="12">
        <f t="shared" si="0"/>
        <v>1.0183</v>
      </c>
      <c r="E38" s="12">
        <f t="shared" si="3"/>
        <v>1.0163289888574918</v>
      </c>
      <c r="F38" s="12">
        <f t="shared" si="1"/>
        <v>1.0019393436221118</v>
      </c>
      <c r="G38" s="26">
        <f t="shared" si="2"/>
        <v>1.937465523063731E-3</v>
      </c>
      <c r="S38" s="9">
        <v>-1.904818433267397E-3</v>
      </c>
    </row>
    <row r="39" spans="1:22" x14ac:dyDescent="0.25">
      <c r="A39" s="10">
        <v>37347</v>
      </c>
      <c r="B39" s="11">
        <v>84.001713192702695</v>
      </c>
      <c r="C39" s="11">
        <v>1.73</v>
      </c>
      <c r="D39" s="12">
        <f t="shared" si="0"/>
        <v>1.0173000000000001</v>
      </c>
      <c r="E39" s="12">
        <f t="shared" si="3"/>
        <v>1.0137793588464796</v>
      </c>
      <c r="F39" s="12">
        <f t="shared" si="1"/>
        <v>1.0034727883565575</v>
      </c>
      <c r="G39" s="26">
        <f t="shared" si="2"/>
        <v>3.4667721517200349E-3</v>
      </c>
      <c r="S39" s="9">
        <v>4.7603663731887741E-4</v>
      </c>
    </row>
    <row r="40" spans="1:22" x14ac:dyDescent="0.25">
      <c r="A40" s="10">
        <v>37438</v>
      </c>
      <c r="B40" s="11">
        <v>84.403759787121899</v>
      </c>
      <c r="C40" s="11">
        <v>1.66</v>
      </c>
      <c r="D40" s="12">
        <f t="shared" si="0"/>
        <v>1.0165999999999999</v>
      </c>
      <c r="E40" s="12">
        <f t="shared" si="3"/>
        <v>1.0146442592025704</v>
      </c>
      <c r="F40" s="12">
        <f t="shared" si="1"/>
        <v>1.0019275137859318</v>
      </c>
      <c r="G40" s="26">
        <f t="shared" si="2"/>
        <v>1.925658514892124E-3</v>
      </c>
      <c r="S40" s="9">
        <v>2.9052460330558638E-3</v>
      </c>
    </row>
    <row r="41" spans="1:22" x14ac:dyDescent="0.25">
      <c r="A41" s="10">
        <v>37530</v>
      </c>
      <c r="B41" s="11">
        <v>84.893534493954903</v>
      </c>
      <c r="C41" s="11">
        <v>1.21</v>
      </c>
      <c r="D41" s="12">
        <f t="shared" si="0"/>
        <v>1.0121</v>
      </c>
      <c r="E41" s="12">
        <f t="shared" si="3"/>
        <v>1.0173418290355498</v>
      </c>
      <c r="F41" s="12">
        <f t="shared" si="1"/>
        <v>0.99484752431685708</v>
      </c>
      <c r="G41" s="26">
        <f t="shared" si="2"/>
        <v>-5.1657954588887256E-3</v>
      </c>
      <c r="S41" s="9">
        <v>-2.6005034856700911E-3</v>
      </c>
    </row>
    <row r="42" spans="1:22" x14ac:dyDescent="0.25">
      <c r="A42" s="10">
        <v>37622</v>
      </c>
      <c r="B42" s="11">
        <v>85.3091709968987</v>
      </c>
      <c r="C42" s="11">
        <v>1.1499999999999999</v>
      </c>
      <c r="D42" s="12">
        <f t="shared" si="0"/>
        <v>1.0115000000000001</v>
      </c>
      <c r="E42" s="12">
        <f t="shared" si="3"/>
        <v>1.0191112173390269</v>
      </c>
      <c r="F42" s="12">
        <f t="shared" si="1"/>
        <v>0.99253151451035904</v>
      </c>
      <c r="G42" s="26">
        <f t="shared" si="2"/>
        <v>-7.4965142696228728E-3</v>
      </c>
      <c r="S42" s="9">
        <v>-5.6272022690928569E-3</v>
      </c>
    </row>
    <row r="43" spans="1:22" x14ac:dyDescent="0.25">
      <c r="A43" s="10">
        <v>37712</v>
      </c>
      <c r="B43" s="11">
        <v>85.609421559560701</v>
      </c>
      <c r="C43" s="11">
        <v>0.94</v>
      </c>
      <c r="D43" s="12">
        <f t="shared" si="0"/>
        <v>1.0094000000000001</v>
      </c>
      <c r="E43" s="12">
        <f t="shared" si="3"/>
        <v>1.0191389949770413</v>
      </c>
      <c r="F43" s="12">
        <f t="shared" si="1"/>
        <v>0.99044389918839226</v>
      </c>
      <c r="G43" s="26">
        <f t="shared" si="2"/>
        <v>-9.6020533285504379E-3</v>
      </c>
      <c r="S43" s="9">
        <v>-1.0667662788134471E-2</v>
      </c>
    </row>
    <row r="44" spans="1:22" x14ac:dyDescent="0.25">
      <c r="A44" s="10">
        <v>37803</v>
      </c>
      <c r="B44" s="11">
        <v>86.098840785630898</v>
      </c>
      <c r="C44" s="11">
        <v>0.96</v>
      </c>
      <c r="D44" s="12">
        <f t="shared" si="0"/>
        <v>1.0096000000000001</v>
      </c>
      <c r="E44" s="12">
        <f t="shared" si="3"/>
        <v>1.0200830034442094</v>
      </c>
      <c r="F44" s="12">
        <f t="shared" si="1"/>
        <v>0.98972338191224185</v>
      </c>
      <c r="G44" s="26">
        <f t="shared" si="2"/>
        <v>-1.0329787106222538E-2</v>
      </c>
      <c r="S44" s="9">
        <v>-9.6994702875251582E-3</v>
      </c>
    </row>
    <row r="45" spans="1:22" x14ac:dyDescent="0.25">
      <c r="A45" s="10">
        <v>37895</v>
      </c>
      <c r="B45" s="11">
        <v>86.623545903186795</v>
      </c>
      <c r="C45" s="11">
        <v>0.91</v>
      </c>
      <c r="D45" s="12">
        <f t="shared" si="0"/>
        <v>1.0091000000000001</v>
      </c>
      <c r="E45" s="12">
        <f t="shared" si="3"/>
        <v>1.0203786003203235</v>
      </c>
      <c r="F45" s="12">
        <f t="shared" si="1"/>
        <v>0.98894665145193883</v>
      </c>
      <c r="G45" s="26">
        <f t="shared" si="2"/>
        <v>-1.1114890723402875E-2</v>
      </c>
      <c r="S45" s="9">
        <v>-1.120390582768827E-2</v>
      </c>
    </row>
    <row r="46" spans="1:22" x14ac:dyDescent="0.25">
      <c r="A46" s="10">
        <v>37987</v>
      </c>
      <c r="B46" s="11">
        <v>87.241859653510602</v>
      </c>
      <c r="C46" s="11">
        <v>0.95</v>
      </c>
      <c r="D46" s="12">
        <f t="shared" si="0"/>
        <v>1.0095000000000001</v>
      </c>
      <c r="E46" s="12">
        <f t="shared" si="3"/>
        <v>1.0226551100430006</v>
      </c>
      <c r="F46" s="12">
        <f t="shared" si="1"/>
        <v>0.98713631808631219</v>
      </c>
      <c r="G46" s="26">
        <f t="shared" si="2"/>
        <v>-1.2947135522829127E-2</v>
      </c>
      <c r="S46" s="9">
        <v>-1.029634232873256E-2</v>
      </c>
    </row>
    <row r="47" spans="1:22" x14ac:dyDescent="0.25">
      <c r="A47" s="10">
        <v>38078</v>
      </c>
      <c r="B47" s="11">
        <v>87.945894734929894</v>
      </c>
      <c r="C47" s="11">
        <v>1.29</v>
      </c>
      <c r="D47" s="12">
        <f t="shared" si="0"/>
        <v>1.0128999999999999</v>
      </c>
      <c r="E47" s="12">
        <f t="shared" si="3"/>
        <v>1.0272922434564478</v>
      </c>
      <c r="F47" s="12">
        <f t="shared" si="1"/>
        <v>0.98599011766308731</v>
      </c>
      <c r="G47" s="26">
        <f t="shared" si="2"/>
        <v>-1.4108947083798437E-2</v>
      </c>
      <c r="S47" s="9">
        <v>-9.4660989447408195E-3</v>
      </c>
    </row>
    <row r="48" spans="1:22" x14ac:dyDescent="0.25">
      <c r="A48" s="10">
        <v>38169</v>
      </c>
      <c r="B48" s="11">
        <v>88.503951387730993</v>
      </c>
      <c r="C48" s="11">
        <v>1.68</v>
      </c>
      <c r="D48" s="12">
        <f t="shared" si="0"/>
        <v>1.0167999999999999</v>
      </c>
      <c r="E48" s="12">
        <f t="shared" si="3"/>
        <v>1.0279342971421455</v>
      </c>
      <c r="F48" s="12">
        <f t="shared" si="1"/>
        <v>0.98916827936075191</v>
      </c>
      <c r="G48" s="26">
        <f t="shared" si="2"/>
        <v>-1.0890810811474411E-2</v>
      </c>
      <c r="S48" s="9">
        <v>-1.094267451412889E-2</v>
      </c>
    </row>
    <row r="49" spans="1:19" x14ac:dyDescent="0.25">
      <c r="A49" s="10">
        <v>38261</v>
      </c>
      <c r="B49" s="11">
        <v>89.190057454758303</v>
      </c>
      <c r="C49" s="11">
        <v>2.2200000000000002</v>
      </c>
      <c r="D49" s="12">
        <f t="shared" si="0"/>
        <v>1.0222</v>
      </c>
      <c r="E49" s="12">
        <f t="shared" si="3"/>
        <v>1.0296283363237049</v>
      </c>
      <c r="F49" s="12">
        <f t="shared" si="1"/>
        <v>0.99278541968820733</v>
      </c>
      <c r="G49" s="26">
        <f t="shared" si="2"/>
        <v>-7.2407312509431901E-3</v>
      </c>
      <c r="S49" s="9">
        <v>-6.4949984345646916E-3</v>
      </c>
    </row>
    <row r="50" spans="1:19" x14ac:dyDescent="0.25">
      <c r="A50" s="10">
        <v>38353</v>
      </c>
      <c r="B50" s="11">
        <v>89.901958538412998</v>
      </c>
      <c r="C50" s="11">
        <v>2.8</v>
      </c>
      <c r="D50" s="12">
        <f t="shared" si="0"/>
        <v>1.028</v>
      </c>
      <c r="E50" s="12">
        <f t="shared" si="3"/>
        <v>1.0304910841592239</v>
      </c>
      <c r="F50" s="12">
        <f t="shared" si="1"/>
        <v>0.99758262424826671</v>
      </c>
      <c r="G50" s="26">
        <f t="shared" si="2"/>
        <v>-2.4203023218602659E-3</v>
      </c>
      <c r="S50" s="9">
        <v>-3.3953107306999848E-3</v>
      </c>
    </row>
    <row r="51" spans="1:19" x14ac:dyDescent="0.25">
      <c r="A51" s="10">
        <v>38443</v>
      </c>
      <c r="B51" s="11">
        <v>90.549939952740999</v>
      </c>
      <c r="C51" s="11">
        <v>3.04</v>
      </c>
      <c r="D51" s="12">
        <f t="shared" si="0"/>
        <v>1.0304</v>
      </c>
      <c r="E51" s="12">
        <f t="shared" si="3"/>
        <v>1.029609627892919</v>
      </c>
      <c r="F51" s="12">
        <f t="shared" si="1"/>
        <v>1.00076764249835</v>
      </c>
      <c r="G51" s="26">
        <f t="shared" si="2"/>
        <v>7.6734801154482526E-4</v>
      </c>
      <c r="S51" s="9">
        <v>-1.60121241459743E-3</v>
      </c>
    </row>
    <row r="52" spans="1:19" x14ac:dyDescent="0.25">
      <c r="A52" s="10">
        <v>38534</v>
      </c>
      <c r="B52" s="11">
        <v>91.375184328029604</v>
      </c>
      <c r="C52" s="11">
        <v>3.49</v>
      </c>
      <c r="D52" s="12">
        <f t="shared" si="0"/>
        <v>1.0348999999999999</v>
      </c>
      <c r="E52" s="12">
        <f t="shared" si="3"/>
        <v>1.0324418615810711</v>
      </c>
      <c r="F52" s="12">
        <f t="shared" si="1"/>
        <v>1.0023808976663968</v>
      </c>
      <c r="G52" s="26">
        <f t="shared" si="2"/>
        <v>2.3780678203736915E-3</v>
      </c>
      <c r="S52" s="9">
        <v>4.0977459710460629E-3</v>
      </c>
    </row>
    <row r="53" spans="1:19" x14ac:dyDescent="0.25">
      <c r="A53" s="10">
        <v>38626</v>
      </c>
      <c r="B53" s="11">
        <v>92.125734935303996</v>
      </c>
      <c r="C53" s="11">
        <v>3.97</v>
      </c>
      <c r="D53" s="12">
        <f t="shared" si="0"/>
        <v>1.0397000000000001</v>
      </c>
      <c r="E53" s="12">
        <f t="shared" si="3"/>
        <v>1.032914851322243</v>
      </c>
      <c r="F53" s="12">
        <f t="shared" si="1"/>
        <v>1.0065689332175554</v>
      </c>
      <c r="G53" s="26">
        <f t="shared" si="2"/>
        <v>6.547451797771193E-3</v>
      </c>
      <c r="S53" s="9">
        <v>5.5292727272724376E-3</v>
      </c>
    </row>
    <row r="54" spans="1:19" x14ac:dyDescent="0.25">
      <c r="A54" s="10">
        <v>38718</v>
      </c>
      <c r="B54" s="11">
        <v>92.778596551844998</v>
      </c>
      <c r="C54" s="11">
        <v>4.63</v>
      </c>
      <c r="D54" s="12">
        <f t="shared" si="0"/>
        <v>1.0463</v>
      </c>
      <c r="E54" s="12">
        <f t="shared" si="3"/>
        <v>1.0319975010578093</v>
      </c>
      <c r="F54" s="12">
        <f t="shared" si="1"/>
        <v>1.0138590441619582</v>
      </c>
      <c r="G54" s="26">
        <f t="shared" si="2"/>
        <v>1.3763885804036388E-2</v>
      </c>
      <c r="S54" s="9">
        <v>1.0948312410734349E-2</v>
      </c>
    </row>
    <row r="55" spans="1:19" x14ac:dyDescent="0.25">
      <c r="A55" s="10">
        <v>38808</v>
      </c>
      <c r="B55" s="11">
        <v>93.588879908930494</v>
      </c>
      <c r="C55" s="11">
        <v>4.92</v>
      </c>
      <c r="D55" s="12">
        <f t="shared" si="0"/>
        <v>1.0491999999999999</v>
      </c>
      <c r="E55" s="12">
        <f t="shared" si="3"/>
        <v>1.0335609273487707</v>
      </c>
      <c r="F55" s="12">
        <f t="shared" si="1"/>
        <v>1.015131253743643</v>
      </c>
      <c r="G55" s="26">
        <f t="shared" si="2"/>
        <v>1.5017918166557606E-2</v>
      </c>
      <c r="S55" s="9">
        <v>1.50236548483007E-2</v>
      </c>
    </row>
    <row r="56" spans="1:19" x14ac:dyDescent="0.25">
      <c r="A56" s="10">
        <v>38899</v>
      </c>
      <c r="B56" s="11">
        <v>94.242111533336001</v>
      </c>
      <c r="C56" s="11">
        <v>4.93</v>
      </c>
      <c r="D56" s="12">
        <f t="shared" si="0"/>
        <v>1.0492999999999999</v>
      </c>
      <c r="E56" s="12">
        <f t="shared" si="3"/>
        <v>1.0313753370391501</v>
      </c>
      <c r="F56" s="12">
        <f t="shared" si="1"/>
        <v>1.0173793790845411</v>
      </c>
      <c r="G56" s="26">
        <f t="shared" si="2"/>
        <v>1.723008495317924E-2</v>
      </c>
      <c r="S56" s="9">
        <v>1.408480892224739E-2</v>
      </c>
    </row>
    <row r="57" spans="1:19" x14ac:dyDescent="0.25">
      <c r="A57" s="10">
        <v>38991</v>
      </c>
      <c r="B57" s="11">
        <v>94.580055158264898</v>
      </c>
      <c r="C57" s="11">
        <v>4.97</v>
      </c>
      <c r="D57" s="12">
        <f t="shared" si="0"/>
        <v>1.0497000000000001</v>
      </c>
      <c r="E57" s="12">
        <f t="shared" si="3"/>
        <v>1.0266409839192541</v>
      </c>
      <c r="F57" s="12">
        <f t="shared" si="1"/>
        <v>1.0224606424659934</v>
      </c>
      <c r="G57" s="26">
        <f t="shared" si="2"/>
        <v>2.2212116718202859E-2</v>
      </c>
      <c r="S57" s="9">
        <v>1.7138237671786571E-2</v>
      </c>
    </row>
    <row r="58" spans="1:19" x14ac:dyDescent="0.25">
      <c r="A58" s="10">
        <v>39083</v>
      </c>
      <c r="B58" s="11">
        <v>95.479090467690398</v>
      </c>
      <c r="C58" s="11">
        <v>5.08</v>
      </c>
      <c r="D58" s="12">
        <f t="shared" si="0"/>
        <v>1.0508</v>
      </c>
      <c r="E58" s="12">
        <f t="shared" si="3"/>
        <v>1.0291068631797675</v>
      </c>
      <c r="F58" s="12">
        <f t="shared" si="1"/>
        <v>1.0210795764719751</v>
      </c>
      <c r="G58" s="26">
        <f t="shared" si="2"/>
        <v>2.0860475882872841E-2</v>
      </c>
      <c r="S58" s="9">
        <v>2.236985028718497E-2</v>
      </c>
    </row>
    <row r="59" spans="1:19" x14ac:dyDescent="0.25">
      <c r="A59" s="10">
        <v>39173</v>
      </c>
      <c r="B59" s="11">
        <v>96.143081797715695</v>
      </c>
      <c r="C59" s="11">
        <v>4.74</v>
      </c>
      <c r="D59" s="12">
        <f t="shared" si="0"/>
        <v>1.0474000000000001</v>
      </c>
      <c r="E59" s="12">
        <f t="shared" si="3"/>
        <v>1.0272917240944719</v>
      </c>
      <c r="F59" s="12">
        <f t="shared" si="1"/>
        <v>1.0195740658995895</v>
      </c>
      <c r="G59" s="26">
        <f t="shared" si="2"/>
        <v>1.9384957632965463E-2</v>
      </c>
      <c r="S59" s="9">
        <v>1.5632223854653789E-2</v>
      </c>
    </row>
    <row r="60" spans="1:19" x14ac:dyDescent="0.25">
      <c r="A60" s="10">
        <v>39264</v>
      </c>
      <c r="B60" s="11">
        <v>96.667936681775004</v>
      </c>
      <c r="C60" s="11">
        <v>3.99</v>
      </c>
      <c r="D60" s="12">
        <f t="shared" si="0"/>
        <v>1.0399</v>
      </c>
      <c r="E60" s="12">
        <f t="shared" si="3"/>
        <v>1.0257403522583524</v>
      </c>
      <c r="F60" s="12">
        <f t="shared" si="1"/>
        <v>1.0138043196901367</v>
      </c>
      <c r="G60" s="26">
        <f t="shared" si="2"/>
        <v>1.3709907936891081E-2</v>
      </c>
      <c r="S60" s="9">
        <v>1.11610813869738E-2</v>
      </c>
    </row>
    <row r="61" spans="1:19" x14ac:dyDescent="0.25">
      <c r="A61" s="10">
        <v>39356</v>
      </c>
      <c r="B61" s="11">
        <v>97.060025100862106</v>
      </c>
      <c r="C61" s="11">
        <v>3.07</v>
      </c>
      <c r="D61" s="12">
        <f t="shared" si="0"/>
        <v>1.0306999999999999</v>
      </c>
      <c r="E61" s="12">
        <f t="shared" si="3"/>
        <v>1.0262208553214245</v>
      </c>
      <c r="F61" s="12">
        <f t="shared" si="1"/>
        <v>1.0043646985493904</v>
      </c>
      <c r="G61" s="26">
        <f t="shared" si="2"/>
        <v>4.3552008789603932E-3</v>
      </c>
      <c r="S61" s="9">
        <v>5.9519512745320746E-3</v>
      </c>
    </row>
    <row r="62" spans="1:19" x14ac:dyDescent="0.25">
      <c r="A62" s="10">
        <v>39448</v>
      </c>
      <c r="B62" s="11">
        <v>97.419579470730696</v>
      </c>
      <c r="C62" s="11">
        <v>1.28</v>
      </c>
      <c r="D62" s="12">
        <f t="shared" si="0"/>
        <v>1.0127999999999999</v>
      </c>
      <c r="E62" s="12">
        <f t="shared" si="3"/>
        <v>1.0203237064108497</v>
      </c>
      <c r="F62" s="12">
        <f t="shared" si="1"/>
        <v>0.99262615740124716</v>
      </c>
      <c r="G62" s="26">
        <f t="shared" si="2"/>
        <v>-7.4011637669409488E-3</v>
      </c>
      <c r="S62" s="9">
        <v>-1.1960659051235891E-2</v>
      </c>
    </row>
    <row r="63" spans="1:19" x14ac:dyDescent="0.25">
      <c r="A63" s="10">
        <v>39539</v>
      </c>
      <c r="B63" s="11">
        <v>97.891043151254195</v>
      </c>
      <c r="C63" s="11">
        <v>1.89</v>
      </c>
      <c r="D63" s="12">
        <f t="shared" si="0"/>
        <v>1.0188999999999999</v>
      </c>
      <c r="E63" s="12">
        <f t="shared" si="3"/>
        <v>1.0181808334084421</v>
      </c>
      <c r="F63" s="12">
        <f t="shared" si="1"/>
        <v>1.0007063250141435</v>
      </c>
      <c r="G63" s="26">
        <f t="shared" si="2"/>
        <v>7.0607568402915918E-4</v>
      </c>
      <c r="S63" s="9">
        <v>-5.8140842782750113E-4</v>
      </c>
    </row>
    <row r="64" spans="1:19" x14ac:dyDescent="0.25">
      <c r="A64" s="10">
        <v>39630</v>
      </c>
      <c r="B64" s="11">
        <v>98.6283647989857</v>
      </c>
      <c r="C64" s="11">
        <v>1.1499999999999999</v>
      </c>
      <c r="D64" s="12">
        <f t="shared" si="0"/>
        <v>1.0115000000000001</v>
      </c>
      <c r="E64" s="12">
        <f t="shared" si="3"/>
        <v>1.020280024426965</v>
      </c>
      <c r="F64" s="12">
        <f t="shared" si="1"/>
        <v>0.99139449541620095</v>
      </c>
      <c r="G64" s="26">
        <f t="shared" si="2"/>
        <v>-8.6427457449481347E-3</v>
      </c>
      <c r="S64" s="9">
        <v>-7.0289440717691276E-3</v>
      </c>
    </row>
    <row r="65" spans="1:19" x14ac:dyDescent="0.25">
      <c r="A65" s="10">
        <v>39722</v>
      </c>
      <c r="B65" s="11">
        <v>98.867633687647697</v>
      </c>
      <c r="C65" s="11">
        <v>0.03</v>
      </c>
      <c r="D65" s="12">
        <f t="shared" si="0"/>
        <v>1.0003</v>
      </c>
      <c r="E65" s="12">
        <f t="shared" si="3"/>
        <v>1.0186236154885306</v>
      </c>
      <c r="F65" s="12">
        <f t="shared" si="1"/>
        <v>0.98201139733075726</v>
      </c>
      <c r="G65" s="26">
        <f t="shared" si="2"/>
        <v>-1.8152364451889412E-2</v>
      </c>
      <c r="S65" s="9">
        <v>-2.1109405071293219E-2</v>
      </c>
    </row>
    <row r="66" spans="1:19" x14ac:dyDescent="0.25">
      <c r="A66" s="10">
        <v>39814</v>
      </c>
      <c r="B66" s="11">
        <v>98.788755567777002</v>
      </c>
      <c r="C66" s="11">
        <v>0.22</v>
      </c>
      <c r="D66" s="12">
        <f t="shared" ref="D66:D129" si="4">1+C66/100</f>
        <v>1.0022</v>
      </c>
      <c r="E66" s="12">
        <f t="shared" si="3"/>
        <v>1.0140544242182616</v>
      </c>
      <c r="F66" s="12">
        <f t="shared" ref="F66:F129" si="5">IF(E66="","",D66/E66)</f>
        <v>0.98830987377487134</v>
      </c>
      <c r="G66" s="26">
        <f t="shared" ref="G66:G129" si="6">IF(F66="","",LN(F66))</f>
        <v>-1.1758992984245657E-2</v>
      </c>
      <c r="S66" s="9">
        <v>-1.646447278775243E-2</v>
      </c>
    </row>
    <row r="67" spans="1:19" x14ac:dyDescent="0.25">
      <c r="A67" s="10">
        <v>39904</v>
      </c>
      <c r="B67" s="11">
        <v>98.624953232941394</v>
      </c>
      <c r="C67" s="11">
        <v>0.18</v>
      </c>
      <c r="D67" s="12">
        <f t="shared" si="4"/>
        <v>1.0018</v>
      </c>
      <c r="E67" s="12">
        <f t="shared" si="3"/>
        <v>1.0074972138212197</v>
      </c>
      <c r="F67" s="12">
        <f t="shared" si="5"/>
        <v>0.99434518156173224</v>
      </c>
      <c r="G67" s="26">
        <f t="shared" si="6"/>
        <v>-5.6708674555023863E-3</v>
      </c>
      <c r="S67" s="9">
        <v>-1.3788049648225E-2</v>
      </c>
    </row>
    <row r="68" spans="1:19" x14ac:dyDescent="0.25">
      <c r="A68" s="10">
        <v>39995</v>
      </c>
      <c r="B68" s="11">
        <v>98.742087450053305</v>
      </c>
      <c r="C68" s="11">
        <v>0.12</v>
      </c>
      <c r="D68" s="12">
        <f t="shared" si="4"/>
        <v>1.0012000000000001</v>
      </c>
      <c r="E68" s="12">
        <f t="shared" si="3"/>
        <v>1.0011530420411956</v>
      </c>
      <c r="F68" s="12">
        <f t="shared" si="5"/>
        <v>1.0000469038766628</v>
      </c>
      <c r="G68" s="26">
        <f t="shared" si="6"/>
        <v>4.690277671041201E-5</v>
      </c>
      <c r="S68" s="9">
        <v>-7.9503808923190311E-3</v>
      </c>
    </row>
    <row r="69" spans="1:19" x14ac:dyDescent="0.25">
      <c r="A69" s="10">
        <v>40087</v>
      </c>
      <c r="B69" s="11">
        <v>99.054352088997902</v>
      </c>
      <c r="C69" s="11">
        <v>0.05</v>
      </c>
      <c r="D69" s="12">
        <f t="shared" si="4"/>
        <v>1.0004999999999999</v>
      </c>
      <c r="E69" s="12">
        <f t="shared" si="3"/>
        <v>1.0018885695387441</v>
      </c>
      <c r="F69" s="12">
        <f t="shared" si="5"/>
        <v>0.99861404792812103</v>
      </c>
      <c r="G69" s="26">
        <f t="shared" si="6"/>
        <v>-1.3869133917832818E-3</v>
      </c>
      <c r="S69" s="9">
        <v>-1.653788773855025E-3</v>
      </c>
    </row>
    <row r="70" spans="1:19" x14ac:dyDescent="0.25">
      <c r="A70" s="10">
        <v>40179</v>
      </c>
      <c r="B70" s="11">
        <v>99.339462588092999</v>
      </c>
      <c r="C70" s="11">
        <v>0.15</v>
      </c>
      <c r="D70" s="12">
        <f t="shared" si="4"/>
        <v>1.0015000000000001</v>
      </c>
      <c r="E70" s="12">
        <f t="shared" ref="E70:E133" si="7">B70/B66</f>
        <v>1.0055745921400758</v>
      </c>
      <c r="F70" s="12">
        <f t="shared" si="5"/>
        <v>0.99594799612885587</v>
      </c>
      <c r="G70" s="26">
        <f t="shared" si="6"/>
        <v>-4.0602354827026944E-3</v>
      </c>
      <c r="S70" s="9">
        <v>-2.0595024160374731E-3</v>
      </c>
    </row>
    <row r="71" spans="1:19" x14ac:dyDescent="0.25">
      <c r="A71" s="10">
        <v>40269</v>
      </c>
      <c r="B71" s="11">
        <v>99.824068760912596</v>
      </c>
      <c r="C71" s="11">
        <v>0.12</v>
      </c>
      <c r="D71" s="12">
        <f t="shared" si="4"/>
        <v>1.0012000000000001</v>
      </c>
      <c r="E71" s="12">
        <f t="shared" si="7"/>
        <v>1.0121583381148889</v>
      </c>
      <c r="F71" s="12">
        <f t="shared" si="5"/>
        <v>0.98917329660564934</v>
      </c>
      <c r="G71" s="26">
        <f t="shared" si="6"/>
        <v>-1.0885738638945264E-2</v>
      </c>
      <c r="S71" s="9">
        <v>-3.2724443604309479E-3</v>
      </c>
    </row>
    <row r="72" spans="1:19" x14ac:dyDescent="0.25">
      <c r="A72" s="10">
        <v>40360</v>
      </c>
      <c r="B72" s="11">
        <v>100.127620220186</v>
      </c>
      <c r="C72" s="11">
        <v>0.15</v>
      </c>
      <c r="D72" s="12">
        <f t="shared" si="4"/>
        <v>1.0015000000000001</v>
      </c>
      <c r="E72" s="12">
        <f t="shared" si="7"/>
        <v>1.0140318359264335</v>
      </c>
      <c r="F72" s="12">
        <f t="shared" si="5"/>
        <v>0.98764157545903453</v>
      </c>
      <c r="G72" s="26">
        <f t="shared" si="6"/>
        <v>-1.2435424929552959E-2</v>
      </c>
      <c r="S72" s="9">
        <v>-9.0250846886823499E-3</v>
      </c>
    </row>
    <row r="73" spans="1:19" x14ac:dyDescent="0.25">
      <c r="A73" s="10">
        <v>40452</v>
      </c>
      <c r="B73" s="11">
        <v>100.708848430808</v>
      </c>
      <c r="C73" s="11">
        <v>0.14000000000000001</v>
      </c>
      <c r="D73" s="12">
        <f t="shared" si="4"/>
        <v>1.0014000000000001</v>
      </c>
      <c r="E73" s="12">
        <f t="shared" si="7"/>
        <v>1.0167029141770931</v>
      </c>
      <c r="F73" s="12">
        <f t="shared" si="5"/>
        <v>0.98494848990427153</v>
      </c>
      <c r="G73" s="26">
        <f t="shared" si="6"/>
        <v>-1.5165933690883831E-2</v>
      </c>
      <c r="S73" s="9">
        <v>-1.384543572146946E-2</v>
      </c>
    </row>
    <row r="74" spans="1:19" x14ac:dyDescent="0.25">
      <c r="A74" s="10">
        <v>40544</v>
      </c>
      <c r="B74" s="11">
        <v>101.225072809914</v>
      </c>
      <c r="C74" s="11">
        <v>0.1</v>
      </c>
      <c r="D74" s="12">
        <f t="shared" si="4"/>
        <v>1.0009999999999999</v>
      </c>
      <c r="E74" s="12">
        <f t="shared" si="7"/>
        <v>1.0189814820082086</v>
      </c>
      <c r="F74" s="12">
        <f t="shared" si="5"/>
        <v>0.98235347518507321</v>
      </c>
      <c r="G74" s="26">
        <f t="shared" si="6"/>
        <v>-1.7804081032082877E-2</v>
      </c>
      <c r="S74" s="9">
        <v>-1.6400839742583769E-2</v>
      </c>
    </row>
    <row r="75" spans="1:19" x14ac:dyDescent="0.25">
      <c r="A75" s="10">
        <v>40634</v>
      </c>
      <c r="B75" s="11">
        <v>101.894605436539</v>
      </c>
      <c r="C75" s="11">
        <v>0.04</v>
      </c>
      <c r="D75" s="12">
        <f t="shared" si="4"/>
        <v>1.0004</v>
      </c>
      <c r="E75" s="12">
        <f t="shared" si="7"/>
        <v>1.0207418581643424</v>
      </c>
      <c r="F75" s="12">
        <f t="shared" si="5"/>
        <v>0.98007149603825949</v>
      </c>
      <c r="G75" s="26">
        <f t="shared" si="6"/>
        <v>-2.0129754837535211E-2</v>
      </c>
      <c r="S75" s="9">
        <v>-1.7488199486042081E-2</v>
      </c>
    </row>
    <row r="76" spans="1:19" x14ac:dyDescent="0.25">
      <c r="A76" s="10">
        <v>40725</v>
      </c>
      <c r="B76" s="11">
        <v>102.507856621179</v>
      </c>
      <c r="C76" s="11">
        <v>0.01</v>
      </c>
      <c r="D76" s="12">
        <f t="shared" si="4"/>
        <v>1.0001</v>
      </c>
      <c r="E76" s="12">
        <f t="shared" si="7"/>
        <v>1.0237720260978811</v>
      </c>
      <c r="F76" s="12">
        <f t="shared" si="5"/>
        <v>0.97687763926495697</v>
      </c>
      <c r="G76" s="26">
        <f t="shared" si="6"/>
        <v>-2.3393876067287447E-2</v>
      </c>
      <c r="S76" s="9">
        <v>-1.974625929593599E-2</v>
      </c>
    </row>
    <row r="77" spans="1:19" x14ac:dyDescent="0.25">
      <c r="A77" s="10">
        <v>40817</v>
      </c>
      <c r="B77" s="11">
        <v>102.62995900529501</v>
      </c>
      <c r="C77" s="11">
        <v>0.01</v>
      </c>
      <c r="D77" s="12">
        <f t="shared" si="4"/>
        <v>1.0001</v>
      </c>
      <c r="E77" s="12">
        <f t="shared" si="7"/>
        <v>1.0190758866218881</v>
      </c>
      <c r="F77" s="12">
        <f t="shared" si="5"/>
        <v>0.9813793193706204</v>
      </c>
      <c r="G77" s="26">
        <f t="shared" si="6"/>
        <v>-1.8796228127719569E-2</v>
      </c>
      <c r="S77" s="9">
        <v>-2.143616208393628E-2</v>
      </c>
    </row>
    <row r="78" spans="1:19" x14ac:dyDescent="0.25">
      <c r="A78" s="10">
        <v>40909</v>
      </c>
      <c r="B78" s="11">
        <v>103.231886475167</v>
      </c>
      <c r="C78" s="11">
        <v>0.08</v>
      </c>
      <c r="D78" s="12">
        <f t="shared" si="4"/>
        <v>1.0007999999999999</v>
      </c>
      <c r="E78" s="12">
        <f t="shared" si="7"/>
        <v>1.0198252627490969</v>
      </c>
      <c r="F78" s="12">
        <f t="shared" si="5"/>
        <v>0.98134458574029493</v>
      </c>
      <c r="G78" s="26">
        <f t="shared" si="6"/>
        <v>-1.8831621419907685E-2</v>
      </c>
      <c r="S78" s="9">
        <v>-1.7010986385053491E-2</v>
      </c>
    </row>
    <row r="79" spans="1:19" x14ac:dyDescent="0.25">
      <c r="A79" s="10">
        <v>41000</v>
      </c>
      <c r="B79" s="11">
        <v>103.657778665527</v>
      </c>
      <c r="C79" s="11">
        <v>0.09</v>
      </c>
      <c r="D79" s="12">
        <f t="shared" si="4"/>
        <v>1.0008999999999999</v>
      </c>
      <c r="E79" s="12">
        <f t="shared" si="7"/>
        <v>1.0173038918148236</v>
      </c>
      <c r="F79" s="12">
        <f t="shared" si="5"/>
        <v>0.98387513117092285</v>
      </c>
      <c r="G79" s="26">
        <f t="shared" si="6"/>
        <v>-1.6256289198812265E-2</v>
      </c>
      <c r="S79" s="9">
        <v>-1.7795315990833279E-2</v>
      </c>
    </row>
    <row r="80" spans="1:19" x14ac:dyDescent="0.25">
      <c r="A80" s="10">
        <v>41091</v>
      </c>
      <c r="B80" s="11">
        <v>104.22672057390299</v>
      </c>
      <c r="C80" s="11">
        <v>0.11</v>
      </c>
      <c r="D80" s="12">
        <f t="shared" si="4"/>
        <v>1.0011000000000001</v>
      </c>
      <c r="E80" s="12">
        <f t="shared" si="7"/>
        <v>1.0167681191411124</v>
      </c>
      <c r="F80" s="12">
        <f t="shared" si="5"/>
        <v>0.98459027299720259</v>
      </c>
      <c r="G80" s="26">
        <f t="shared" si="6"/>
        <v>-1.5529690848413588E-2</v>
      </c>
      <c r="S80" s="9">
        <v>-1.560570692124086E-2</v>
      </c>
    </row>
    <row r="81" spans="1:19" x14ac:dyDescent="0.25">
      <c r="A81" s="10">
        <v>41183</v>
      </c>
      <c r="B81" s="11">
        <v>104.749856788183</v>
      </c>
      <c r="C81" s="11">
        <v>7.0000000000000007E-2</v>
      </c>
      <c r="D81" s="12">
        <f t="shared" si="4"/>
        <v>1.0006999999999999</v>
      </c>
      <c r="E81" s="12">
        <f t="shared" si="7"/>
        <v>1.0206557403260643</v>
      </c>
      <c r="F81" s="12">
        <f t="shared" si="5"/>
        <v>0.98044811826592071</v>
      </c>
      <c r="G81" s="26">
        <f t="shared" si="6"/>
        <v>-1.974554829397783E-2</v>
      </c>
      <c r="S81" s="9">
        <v>-1.490564335372113E-2</v>
      </c>
    </row>
    <row r="82" spans="1:19" x14ac:dyDescent="0.25">
      <c r="A82" s="10">
        <v>41275</v>
      </c>
      <c r="B82" s="11">
        <v>105.16533729064</v>
      </c>
      <c r="C82" s="11">
        <v>0.09</v>
      </c>
      <c r="D82" s="12">
        <f t="shared" si="4"/>
        <v>1.0008999999999999</v>
      </c>
      <c r="E82" s="12">
        <f t="shared" si="7"/>
        <v>1.0187292016206455</v>
      </c>
      <c r="F82" s="12">
        <f t="shared" si="5"/>
        <v>0.98249858589281425</v>
      </c>
      <c r="G82" s="26">
        <f t="shared" si="6"/>
        <v>-1.7656374534602087E-2</v>
      </c>
      <c r="S82" s="9">
        <v>-1.6945643389137621E-2</v>
      </c>
    </row>
    <row r="83" spans="1:19" x14ac:dyDescent="0.25">
      <c r="A83" s="10">
        <v>41365</v>
      </c>
      <c r="B83" s="11">
        <v>105.391769135584</v>
      </c>
      <c r="C83" s="11">
        <v>0.05</v>
      </c>
      <c r="D83" s="12">
        <f t="shared" si="4"/>
        <v>1.0004999999999999</v>
      </c>
      <c r="E83" s="12">
        <f t="shared" si="7"/>
        <v>1.0167280303743733</v>
      </c>
      <c r="F83" s="12">
        <f t="shared" si="5"/>
        <v>0.98403896628246001</v>
      </c>
      <c r="G83" s="26">
        <f t="shared" si="6"/>
        <v>-1.6089782833389403E-2</v>
      </c>
      <c r="S83" s="9">
        <v>-1.6604820696480171E-2</v>
      </c>
    </row>
    <row r="84" spans="1:19" x14ac:dyDescent="0.25">
      <c r="A84" s="10">
        <v>41456</v>
      </c>
      <c r="B84" s="11">
        <v>105.908535912254</v>
      </c>
      <c r="C84" s="11">
        <v>0.02</v>
      </c>
      <c r="D84" s="12">
        <f t="shared" si="4"/>
        <v>1.0002</v>
      </c>
      <c r="E84" s="12">
        <f t="shared" si="7"/>
        <v>1.0161361244898663</v>
      </c>
      <c r="F84" s="12">
        <f t="shared" si="5"/>
        <v>0.98431693932949504</v>
      </c>
      <c r="G84" s="26">
        <f t="shared" si="6"/>
        <v>-1.5807340976111046E-2</v>
      </c>
      <c r="S84" s="9">
        <v>-1.4003990250237569E-2</v>
      </c>
    </row>
    <row r="85" spans="1:19" x14ac:dyDescent="0.25">
      <c r="A85" s="10">
        <v>41548</v>
      </c>
      <c r="B85" s="11">
        <v>106.468294734029</v>
      </c>
      <c r="C85" s="11">
        <v>7.0000000000000007E-2</v>
      </c>
      <c r="D85" s="12">
        <f t="shared" si="4"/>
        <v>1.0006999999999999</v>
      </c>
      <c r="E85" s="12">
        <f t="shared" si="7"/>
        <v>1.0164051579499616</v>
      </c>
      <c r="F85" s="12">
        <f t="shared" si="5"/>
        <v>0.98454832915090851</v>
      </c>
      <c r="G85" s="26">
        <f t="shared" si="6"/>
        <v>-1.5572292061202437E-2</v>
      </c>
      <c r="S85" s="9">
        <v>-1.322646612598111E-2</v>
      </c>
    </row>
    <row r="86" spans="1:19" x14ac:dyDescent="0.25">
      <c r="A86" s="10">
        <v>41640</v>
      </c>
      <c r="B86" s="11">
        <v>106.872524611123</v>
      </c>
      <c r="C86" s="11">
        <v>0.05</v>
      </c>
      <c r="D86" s="12">
        <f t="shared" si="4"/>
        <v>1.0004999999999999</v>
      </c>
      <c r="E86" s="12">
        <f t="shared" si="7"/>
        <v>1.0162333651416429</v>
      </c>
      <c r="F86" s="12">
        <f t="shared" si="5"/>
        <v>0.98451796045935769</v>
      </c>
      <c r="G86" s="26">
        <f t="shared" si="6"/>
        <v>-1.5603137839948909E-2</v>
      </c>
    </row>
    <row r="87" spans="1:19" x14ac:dyDescent="0.25">
      <c r="A87" s="10">
        <v>41730</v>
      </c>
      <c r="B87" s="11">
        <v>107.477456946115</v>
      </c>
      <c r="C87" s="11">
        <v>0.04</v>
      </c>
      <c r="D87" s="12">
        <f t="shared" si="4"/>
        <v>1.0004</v>
      </c>
      <c r="E87" s="12">
        <f t="shared" si="7"/>
        <v>1.0197898548210895</v>
      </c>
      <c r="F87" s="12">
        <f t="shared" si="5"/>
        <v>0.98098642114409806</v>
      </c>
      <c r="G87" s="26">
        <f t="shared" si="6"/>
        <v>-1.9196661363645583E-2</v>
      </c>
    </row>
    <row r="88" spans="1:19" x14ac:dyDescent="0.25">
      <c r="A88" s="10">
        <v>41821</v>
      </c>
      <c r="B88" s="11">
        <v>107.918737103262</v>
      </c>
      <c r="C88" s="11">
        <v>0.02</v>
      </c>
      <c r="D88" s="12">
        <f t="shared" si="4"/>
        <v>1.0002</v>
      </c>
      <c r="E88" s="12">
        <f t="shared" si="7"/>
        <v>1.0189805398940976</v>
      </c>
      <c r="F88" s="12">
        <f t="shared" si="5"/>
        <v>0.98156928502672924</v>
      </c>
      <c r="G88" s="26">
        <f t="shared" si="6"/>
        <v>-1.8602676797566213E-2</v>
      </c>
    </row>
    <row r="89" spans="1:19" x14ac:dyDescent="0.25">
      <c r="A89" s="10">
        <v>41913</v>
      </c>
      <c r="B89" s="11">
        <v>108.02614351728199</v>
      </c>
      <c r="C89" s="11">
        <v>0.03</v>
      </c>
      <c r="D89" s="12">
        <f t="shared" si="4"/>
        <v>1.0003</v>
      </c>
      <c r="E89" s="12">
        <f t="shared" si="7"/>
        <v>1.0146320440948613</v>
      </c>
      <c r="F89" s="12">
        <f t="shared" si="5"/>
        <v>0.9858746388128844</v>
      </c>
      <c r="G89" s="26">
        <f t="shared" si="6"/>
        <v>-1.4226073626027739E-2</v>
      </c>
    </row>
    <row r="90" spans="1:19" x14ac:dyDescent="0.25">
      <c r="A90" s="10">
        <v>42005</v>
      </c>
      <c r="B90" s="11">
        <v>107.967295619854</v>
      </c>
      <c r="C90" s="11">
        <v>0.03</v>
      </c>
      <c r="D90" s="12">
        <f t="shared" si="4"/>
        <v>1.0003</v>
      </c>
      <c r="E90" s="12">
        <f t="shared" si="7"/>
        <v>1.0102437086867233</v>
      </c>
      <c r="F90" s="12">
        <f t="shared" si="5"/>
        <v>0.99015711891970126</v>
      </c>
      <c r="G90" s="26">
        <f t="shared" si="6"/>
        <v>-9.891642466466866E-3</v>
      </c>
    </row>
    <row r="91" spans="1:19" x14ac:dyDescent="0.25">
      <c r="A91" s="10">
        <v>42095</v>
      </c>
      <c r="B91" s="11">
        <v>108.587274400111</v>
      </c>
      <c r="C91" s="11">
        <v>0.02</v>
      </c>
      <c r="D91" s="12">
        <f t="shared" si="4"/>
        <v>1.0002</v>
      </c>
      <c r="E91" s="12">
        <f t="shared" si="7"/>
        <v>1.0103260486945873</v>
      </c>
      <c r="F91" s="12">
        <f t="shared" si="5"/>
        <v>0.98997744469948989</v>
      </c>
      <c r="G91" s="26">
        <f t="shared" si="6"/>
        <v>-1.0073119244869321E-2</v>
      </c>
    </row>
    <row r="92" spans="1:19" x14ac:dyDescent="0.25">
      <c r="A92" s="10">
        <v>42186</v>
      </c>
      <c r="B92" s="11">
        <v>108.875284803204</v>
      </c>
      <c r="C92" s="11">
        <v>0.02</v>
      </c>
      <c r="D92" s="12">
        <f t="shared" si="4"/>
        <v>1.0002</v>
      </c>
      <c r="E92" s="12">
        <f t="shared" si="7"/>
        <v>1.0088635924179388</v>
      </c>
      <c r="F92" s="12">
        <f t="shared" si="5"/>
        <v>0.99141252347388731</v>
      </c>
      <c r="G92" s="26">
        <f t="shared" si="6"/>
        <v>-8.6245613654143682E-3</v>
      </c>
    </row>
    <row r="93" spans="1:19" x14ac:dyDescent="0.25">
      <c r="A93" s="10">
        <v>42278</v>
      </c>
      <c r="B93" s="11">
        <v>108.872710153152</v>
      </c>
      <c r="C93" s="11">
        <v>0.23</v>
      </c>
      <c r="D93" s="12">
        <f t="shared" si="4"/>
        <v>1.0023</v>
      </c>
      <c r="E93" s="12">
        <f t="shared" si="7"/>
        <v>1.00783668293902</v>
      </c>
      <c r="F93" s="12">
        <f t="shared" si="5"/>
        <v>0.99450636890604727</v>
      </c>
      <c r="G93" s="26">
        <f t="shared" si="6"/>
        <v>-5.5087765798610862E-3</v>
      </c>
    </row>
    <row r="94" spans="1:19" x14ac:dyDescent="0.25">
      <c r="A94" s="10">
        <v>42370</v>
      </c>
      <c r="B94" s="11">
        <v>108.77853296021399</v>
      </c>
      <c r="C94" s="11">
        <v>0.3</v>
      </c>
      <c r="D94" s="12">
        <f t="shared" si="4"/>
        <v>1.0029999999999999</v>
      </c>
      <c r="E94" s="12">
        <f t="shared" si="7"/>
        <v>1.0075137321510423</v>
      </c>
      <c r="F94" s="12">
        <f t="shared" si="5"/>
        <v>0.9955199298957389</v>
      </c>
      <c r="G94" s="26">
        <f t="shared" si="6"/>
        <v>-4.4901356926088766E-3</v>
      </c>
    </row>
    <row r="95" spans="1:19" x14ac:dyDescent="0.25">
      <c r="A95" s="10">
        <v>42461</v>
      </c>
      <c r="B95" s="11">
        <v>109.51762113451601</v>
      </c>
      <c r="C95" s="11">
        <v>0.27</v>
      </c>
      <c r="D95" s="12">
        <f t="shared" si="4"/>
        <v>1.0026999999999999</v>
      </c>
      <c r="E95" s="12">
        <f t="shared" si="7"/>
        <v>1.0085677326329876</v>
      </c>
      <c r="F95" s="12">
        <f t="shared" si="5"/>
        <v>0.99418211346334739</v>
      </c>
      <c r="G95" s="26">
        <f t="shared" si="6"/>
        <v>-5.8348763671812352E-3</v>
      </c>
    </row>
    <row r="96" spans="1:19" x14ac:dyDescent="0.25">
      <c r="A96" s="10">
        <v>42552</v>
      </c>
      <c r="B96" s="11">
        <v>109.79773424336</v>
      </c>
      <c r="C96" s="11">
        <v>0.28999999999999998</v>
      </c>
      <c r="D96" s="12">
        <f t="shared" si="4"/>
        <v>1.0028999999999999</v>
      </c>
      <c r="E96" s="12">
        <f t="shared" si="7"/>
        <v>1.0084725329703923</v>
      </c>
      <c r="F96" s="12">
        <f t="shared" si="5"/>
        <v>0.99447428384194181</v>
      </c>
      <c r="G96" s="26">
        <f t="shared" si="6"/>
        <v>-5.5410394015872923E-3</v>
      </c>
    </row>
    <row r="97" spans="1:7" x14ac:dyDescent="0.25">
      <c r="A97" s="10">
        <v>42644</v>
      </c>
      <c r="B97" s="11">
        <v>110.32956587150601</v>
      </c>
      <c r="C97" s="11">
        <v>0.51</v>
      </c>
      <c r="D97" s="12">
        <f t="shared" si="4"/>
        <v>1.0051000000000001</v>
      </c>
      <c r="E97" s="12">
        <f t="shared" si="7"/>
        <v>1.0133812754022991</v>
      </c>
      <c r="F97" s="12">
        <f t="shared" si="5"/>
        <v>0.99182807537171891</v>
      </c>
      <c r="G97" s="26">
        <f t="shared" si="6"/>
        <v>-8.2054978345902363E-3</v>
      </c>
    </row>
    <row r="98" spans="1:7" x14ac:dyDescent="0.25">
      <c r="A98" s="10">
        <v>42736</v>
      </c>
      <c r="B98" s="11">
        <v>110.891846532836</v>
      </c>
      <c r="C98" s="11">
        <v>0.75</v>
      </c>
      <c r="D98" s="12">
        <f t="shared" si="4"/>
        <v>1.0075000000000001</v>
      </c>
      <c r="E98" s="12">
        <f t="shared" si="7"/>
        <v>1.0194276712059993</v>
      </c>
      <c r="F98" s="12">
        <f t="shared" si="5"/>
        <v>0.98829963954981859</v>
      </c>
      <c r="G98" s="26">
        <f t="shared" si="6"/>
        <v>-1.1769348317440051E-2</v>
      </c>
    </row>
    <row r="99" spans="1:7" x14ac:dyDescent="0.25">
      <c r="A99" s="10">
        <v>42826</v>
      </c>
      <c r="B99" s="11">
        <v>111.181346021821</v>
      </c>
      <c r="C99" s="11">
        <v>1</v>
      </c>
      <c r="D99" s="12">
        <f t="shared" si="4"/>
        <v>1.01</v>
      </c>
      <c r="E99" s="12">
        <f t="shared" si="7"/>
        <v>1.0151913899340592</v>
      </c>
      <c r="F99" s="12">
        <f t="shared" si="5"/>
        <v>0.99488629436229126</v>
      </c>
      <c r="G99" s="26">
        <f t="shared" si="6"/>
        <v>-5.1268253764836114E-3</v>
      </c>
    </row>
    <row r="100" spans="1:7" x14ac:dyDescent="0.25">
      <c r="A100" s="10">
        <v>42917</v>
      </c>
      <c r="B100" s="11">
        <v>111.75265545718401</v>
      </c>
      <c r="C100" s="11">
        <v>1.05</v>
      </c>
      <c r="D100" s="12">
        <f t="shared" si="4"/>
        <v>1.0105</v>
      </c>
      <c r="E100" s="12">
        <f t="shared" si="7"/>
        <v>1.017804750046035</v>
      </c>
      <c r="F100" s="12">
        <f t="shared" si="5"/>
        <v>0.99282303403898964</v>
      </c>
      <c r="G100" s="26">
        <f t="shared" si="6"/>
        <v>-7.2028442740659461E-3</v>
      </c>
    </row>
    <row r="101" spans="1:7" x14ac:dyDescent="0.25">
      <c r="A101" s="10">
        <v>43009</v>
      </c>
      <c r="B101" s="11">
        <v>112.44034758063999</v>
      </c>
      <c r="C101" s="11">
        <v>1.34</v>
      </c>
      <c r="D101" s="12">
        <f t="shared" si="4"/>
        <v>1.0134000000000001</v>
      </c>
      <c r="E101" s="12">
        <f t="shared" si="7"/>
        <v>1.0191316053177648</v>
      </c>
      <c r="F101" s="12">
        <f t="shared" si="5"/>
        <v>0.9943759910026756</v>
      </c>
      <c r="G101" s="26">
        <f t="shared" si="6"/>
        <v>-5.6398832819833863E-3</v>
      </c>
    </row>
    <row r="102" spans="1:7" x14ac:dyDescent="0.25">
      <c r="A102" s="10">
        <v>43101</v>
      </c>
      <c r="B102" s="11">
        <v>113.155517752523</v>
      </c>
      <c r="C102" s="11">
        <v>1.73</v>
      </c>
      <c r="D102" s="12">
        <f t="shared" si="4"/>
        <v>1.0173000000000001</v>
      </c>
      <c r="E102" s="12">
        <f t="shared" si="7"/>
        <v>1.0204133242475739</v>
      </c>
      <c r="F102" s="12">
        <f t="shared" si="5"/>
        <v>0.99694895766882552</v>
      </c>
      <c r="G102" s="26">
        <f t="shared" si="6"/>
        <v>-3.0557062497857841E-3</v>
      </c>
    </row>
    <row r="103" spans="1:7" x14ac:dyDescent="0.25">
      <c r="A103" s="10">
        <v>43191</v>
      </c>
      <c r="B103" s="11">
        <v>113.955328740993</v>
      </c>
      <c r="C103" s="11">
        <v>1.94</v>
      </c>
      <c r="D103" s="12">
        <f t="shared" si="4"/>
        <v>1.0194000000000001</v>
      </c>
      <c r="E103" s="12">
        <f t="shared" si="7"/>
        <v>1.0249500731770917</v>
      </c>
      <c r="F103" s="12">
        <f t="shared" si="5"/>
        <v>0.99458503070311721</v>
      </c>
      <c r="G103" s="26">
        <f t="shared" si="6"/>
        <v>-5.4296833847204216E-3</v>
      </c>
    </row>
    <row r="104" spans="1:7" x14ac:dyDescent="0.25">
      <c r="A104" s="10">
        <v>43282</v>
      </c>
      <c r="B104" s="11">
        <v>114.44756797307301</v>
      </c>
      <c r="C104" s="11">
        <v>2.17</v>
      </c>
      <c r="D104" s="12">
        <f t="shared" si="4"/>
        <v>1.0217000000000001</v>
      </c>
      <c r="E104" s="12">
        <f t="shared" si="7"/>
        <v>1.0241149752089918</v>
      </c>
      <c r="F104" s="12">
        <f t="shared" si="5"/>
        <v>0.99764189054212504</v>
      </c>
      <c r="G104" s="26">
        <f t="shared" si="6"/>
        <v>-2.3608941766250558E-3</v>
      </c>
    </row>
    <row r="105" spans="1:7" x14ac:dyDescent="0.25">
      <c r="A105" s="10">
        <v>43374</v>
      </c>
      <c r="B105" s="11">
        <v>114.94032872687001</v>
      </c>
      <c r="C105" s="11">
        <v>2.41</v>
      </c>
      <c r="D105" s="12">
        <f t="shared" si="4"/>
        <v>1.0241</v>
      </c>
      <c r="E105" s="12">
        <f t="shared" si="7"/>
        <v>1.0222338439894725</v>
      </c>
      <c r="F105" s="12">
        <f t="shared" si="5"/>
        <v>1.0018255666465166</v>
      </c>
      <c r="G105" s="26">
        <f t="shared" si="6"/>
        <v>1.8239023249715452E-3</v>
      </c>
    </row>
    <row r="106" spans="1:7" x14ac:dyDescent="0.25">
      <c r="A106" s="10">
        <v>43466</v>
      </c>
      <c r="B106" s="11">
        <v>115.28511248315</v>
      </c>
      <c r="C106" s="11">
        <v>2.4500000000000002</v>
      </c>
      <c r="D106" s="12">
        <f t="shared" si="4"/>
        <v>1.0245</v>
      </c>
      <c r="E106" s="12">
        <f t="shared" si="7"/>
        <v>1.0188200696963319</v>
      </c>
      <c r="F106" s="12">
        <f t="shared" si="5"/>
        <v>1.0055750082596635</v>
      </c>
      <c r="G106" s="26">
        <f t="shared" si="6"/>
        <v>5.5595254191034013E-3</v>
      </c>
    </row>
    <row r="107" spans="1:7" x14ac:dyDescent="0.25">
      <c r="A107" s="10">
        <v>43556</v>
      </c>
      <c r="B107" s="11">
        <v>115.880956957881</v>
      </c>
      <c r="C107" s="11">
        <v>2.2200000000000002</v>
      </c>
      <c r="D107" s="12">
        <f t="shared" si="4"/>
        <v>1.0222</v>
      </c>
      <c r="E107" s="12">
        <f t="shared" si="7"/>
        <v>1.016898097159324</v>
      </c>
      <c r="F107" s="12">
        <f t="shared" si="5"/>
        <v>1.0052137995493222</v>
      </c>
      <c r="G107" s="26">
        <f t="shared" si="6"/>
        <v>5.2002547559449617E-3</v>
      </c>
    </row>
    <row r="108" spans="1:7" x14ac:dyDescent="0.25">
      <c r="A108" s="10">
        <v>43647</v>
      </c>
      <c r="B108" s="11">
        <v>116.249648766755</v>
      </c>
      <c r="C108" s="11">
        <v>1.93</v>
      </c>
      <c r="D108" s="12">
        <f t="shared" si="4"/>
        <v>1.0193000000000001</v>
      </c>
      <c r="E108" s="12">
        <f t="shared" si="7"/>
        <v>1.0157459072796198</v>
      </c>
      <c r="F108" s="12">
        <f t="shared" si="5"/>
        <v>1.0034989978250555</v>
      </c>
      <c r="G108" s="26">
        <f t="shared" si="6"/>
        <v>3.4928905741910526E-3</v>
      </c>
    </row>
    <row r="109" spans="1:7" x14ac:dyDescent="0.25">
      <c r="A109" s="10">
        <v>43739</v>
      </c>
      <c r="B109" s="11">
        <v>116.610975008799</v>
      </c>
      <c r="C109" s="11">
        <v>1.57</v>
      </c>
      <c r="D109" s="12">
        <f t="shared" si="4"/>
        <v>1.0157</v>
      </c>
      <c r="E109" s="12">
        <f t="shared" si="7"/>
        <v>1.0145349008518925</v>
      </c>
      <c r="F109" s="12">
        <f t="shared" si="5"/>
        <v>1.0011484071638435</v>
      </c>
      <c r="G109" s="26">
        <f t="shared" si="6"/>
        <v>1.1477482487567622E-3</v>
      </c>
    </row>
    <row r="110" spans="1:7" x14ac:dyDescent="0.25">
      <c r="A110" s="10">
        <v>43831</v>
      </c>
      <c r="B110" s="11">
        <v>117.14932220524</v>
      </c>
      <c r="C110" s="11">
        <v>0.3</v>
      </c>
      <c r="D110" s="12">
        <f t="shared" si="4"/>
        <v>1.0029999999999999</v>
      </c>
      <c r="E110" s="12">
        <f t="shared" si="7"/>
        <v>1.016170428964646</v>
      </c>
      <c r="F110" s="12">
        <f t="shared" si="5"/>
        <v>0.9870391534832742</v>
      </c>
      <c r="G110" s="26">
        <f t="shared" si="6"/>
        <v>-1.3045571152808053E-2</v>
      </c>
    </row>
    <row r="111" spans="1:7" x14ac:dyDescent="0.25">
      <c r="A111" s="10">
        <v>43922</v>
      </c>
      <c r="B111" s="11">
        <v>116.71735433996901</v>
      </c>
      <c r="C111" s="11">
        <v>0.16</v>
      </c>
      <c r="D111" s="12">
        <f t="shared" si="4"/>
        <v>1.0016</v>
      </c>
      <c r="E111" s="12">
        <f t="shared" si="7"/>
        <v>1.0072177293322837</v>
      </c>
      <c r="F111" s="12">
        <f t="shared" si="5"/>
        <v>0.99442252735562164</v>
      </c>
      <c r="G111" s="26">
        <f t="shared" si="6"/>
        <v>-5.5930848229892036E-3</v>
      </c>
    </row>
    <row r="112" spans="1:7" x14ac:dyDescent="0.25">
      <c r="A112" s="10">
        <v>44013</v>
      </c>
      <c r="B112" s="11">
        <v>117.738757623797</v>
      </c>
      <c r="C112" s="11">
        <v>0.11</v>
      </c>
      <c r="D112" s="12">
        <f t="shared" si="4"/>
        <v>1.0011000000000001</v>
      </c>
      <c r="E112" s="12">
        <f t="shared" si="7"/>
        <v>1.0128095772575603</v>
      </c>
      <c r="F112" s="12">
        <f t="shared" si="5"/>
        <v>0.98843852040847913</v>
      </c>
      <c r="G112" s="26">
        <f t="shared" si="6"/>
        <v>-1.1628833137734126E-2</v>
      </c>
    </row>
    <row r="113" spans="1:7" x14ac:dyDescent="0.25">
      <c r="A113" s="10">
        <v>44105</v>
      </c>
      <c r="B113" s="11">
        <v>118.53907884252</v>
      </c>
      <c r="C113" s="11">
        <v>0.09</v>
      </c>
      <c r="D113" s="12">
        <f t="shared" si="4"/>
        <v>1.0008999999999999</v>
      </c>
      <c r="E113" s="12">
        <f t="shared" si="7"/>
        <v>1.0165344971481072</v>
      </c>
      <c r="F113" s="12">
        <f t="shared" si="5"/>
        <v>0.98461980661554538</v>
      </c>
      <c r="G113" s="26">
        <f t="shared" si="6"/>
        <v>-1.549969545213691E-2</v>
      </c>
    </row>
    <row r="114" spans="1:7" x14ac:dyDescent="0.25">
      <c r="A114" s="10">
        <v>44197</v>
      </c>
      <c r="B114" s="11">
        <v>120.040786185275</v>
      </c>
      <c r="C114" s="11">
        <v>0.03</v>
      </c>
      <c r="D114" s="12">
        <f t="shared" si="4"/>
        <v>1.0003</v>
      </c>
      <c r="E114" s="12">
        <f t="shared" si="7"/>
        <v>1.0246818669165605</v>
      </c>
      <c r="F114" s="12">
        <f t="shared" si="5"/>
        <v>0.97620542755389084</v>
      </c>
      <c r="G114" s="26">
        <f t="shared" si="6"/>
        <v>-2.4082235665534701E-2</v>
      </c>
    </row>
    <row r="115" spans="1:7" x14ac:dyDescent="0.25">
      <c r="A115" s="10">
        <v>44287</v>
      </c>
      <c r="B115" s="11">
        <v>121.89960413500501</v>
      </c>
      <c r="C115" s="11">
        <v>0.04</v>
      </c>
      <c r="D115" s="12">
        <f t="shared" si="4"/>
        <v>1.0004</v>
      </c>
      <c r="E115" s="12">
        <f t="shared" si="7"/>
        <v>1.0443999936799577</v>
      </c>
      <c r="F115" s="12">
        <f t="shared" si="5"/>
        <v>0.95787055347930139</v>
      </c>
      <c r="G115" s="26">
        <f t="shared" si="6"/>
        <v>-4.3042631770147985E-2</v>
      </c>
    </row>
    <row r="116" spans="1:7" x14ac:dyDescent="0.25">
      <c r="A116" s="10">
        <v>44378</v>
      </c>
      <c r="B116" s="11">
        <v>123.729682831152</v>
      </c>
      <c r="C116" s="11">
        <v>0.04</v>
      </c>
      <c r="D116" s="12">
        <f t="shared" si="4"/>
        <v>1.0004</v>
      </c>
      <c r="E116" s="12">
        <f t="shared" si="7"/>
        <v>1.0508832038681555</v>
      </c>
      <c r="F116" s="12">
        <f t="shared" si="5"/>
        <v>0.95196116591992919</v>
      </c>
      <c r="G116" s="26">
        <f t="shared" si="6"/>
        <v>-4.9231037123706835E-2</v>
      </c>
    </row>
    <row r="117" spans="1:7" x14ac:dyDescent="0.25">
      <c r="A117" s="10">
        <v>44470</v>
      </c>
      <c r="B117" s="11">
        <v>125.882311820868</v>
      </c>
      <c r="C117" s="11">
        <v>0.06</v>
      </c>
      <c r="D117" s="12">
        <f t="shared" si="4"/>
        <v>1.0005999999999999</v>
      </c>
      <c r="E117" s="12">
        <f t="shared" si="7"/>
        <v>1.0619477816940313</v>
      </c>
      <c r="F117" s="12">
        <f t="shared" si="5"/>
        <v>0.94223088672385691</v>
      </c>
      <c r="G117" s="26">
        <f t="shared" si="6"/>
        <v>-5.9504931759274758E-2</v>
      </c>
    </row>
    <row r="118" spans="1:7" x14ac:dyDescent="0.25">
      <c r="A118" s="10">
        <v>44562</v>
      </c>
      <c r="B118" s="11">
        <v>128.440594836261</v>
      </c>
      <c r="C118" s="11">
        <v>0.45</v>
      </c>
      <c r="D118" s="12">
        <f t="shared" si="4"/>
        <v>1.0044999999999999</v>
      </c>
      <c r="E118" s="12">
        <f t="shared" si="7"/>
        <v>1.0699746221090343</v>
      </c>
      <c r="F118" s="12">
        <f t="shared" si="5"/>
        <v>0.93880731303703557</v>
      </c>
      <c r="G118" s="26">
        <f t="shared" si="6"/>
        <v>-6.3145025264586582E-2</v>
      </c>
    </row>
    <row r="119" spans="1:7" x14ac:dyDescent="0.25">
      <c r="A119" s="10">
        <v>44652</v>
      </c>
      <c r="B119" s="11">
        <v>131.355232047253</v>
      </c>
      <c r="C119" s="11">
        <v>1.54</v>
      </c>
      <c r="D119" s="12">
        <f t="shared" si="4"/>
        <v>1.0154000000000001</v>
      </c>
      <c r="E119" s="12">
        <f t="shared" si="7"/>
        <v>1.0775689796480044</v>
      </c>
      <c r="F119" s="12">
        <f t="shared" si="5"/>
        <v>0.9423062645434428</v>
      </c>
      <c r="G119" s="26">
        <f t="shared" si="6"/>
        <v>-5.9424935650335867E-2</v>
      </c>
    </row>
    <row r="120" spans="1:7" x14ac:dyDescent="0.25">
      <c r="A120" s="10">
        <v>44743</v>
      </c>
      <c r="B120" s="11">
        <v>132.83410956529301</v>
      </c>
      <c r="C120" s="11">
        <v>3.22</v>
      </c>
      <c r="D120" s="12">
        <f t="shared" si="4"/>
        <v>1.0322</v>
      </c>
      <c r="E120" s="12">
        <f t="shared" si="7"/>
        <v>1.0735832059520056</v>
      </c>
      <c r="F120" s="12">
        <f t="shared" si="5"/>
        <v>0.96145319177631061</v>
      </c>
      <c r="G120" s="26">
        <f t="shared" si="6"/>
        <v>-3.9309397638270953E-2</v>
      </c>
    </row>
    <row r="121" spans="1:7" x14ac:dyDescent="0.25">
      <c r="A121" s="10">
        <v>44835</v>
      </c>
      <c r="B121" s="11">
        <v>134.06157572181101</v>
      </c>
      <c r="C121" s="11">
        <v>4.3600000000000003</v>
      </c>
      <c r="D121" s="12">
        <f t="shared" si="4"/>
        <v>1.0436000000000001</v>
      </c>
      <c r="E121" s="12">
        <f t="shared" si="7"/>
        <v>1.0649754821200155</v>
      </c>
      <c r="F121" s="12">
        <f t="shared" si="5"/>
        <v>0.97992866269797696</v>
      </c>
      <c r="G121" s="26">
        <f t="shared" si="6"/>
        <v>-2.0275503132400122E-2</v>
      </c>
    </row>
    <row r="122" spans="1:7" x14ac:dyDescent="0.25">
      <c r="A122" s="10">
        <v>44927</v>
      </c>
      <c r="B122" s="11">
        <v>135.282051781924</v>
      </c>
      <c r="C122" s="11">
        <v>4.8600000000000003</v>
      </c>
      <c r="D122" s="12">
        <f t="shared" si="4"/>
        <v>1.0486</v>
      </c>
      <c r="E122" s="12">
        <f t="shared" si="7"/>
        <v>1.0532655345795046</v>
      </c>
      <c r="F122" s="12">
        <f t="shared" si="5"/>
        <v>0.9955704099048801</v>
      </c>
      <c r="G122" s="26">
        <f t="shared" si="6"/>
        <v>-4.4394297973082367E-3</v>
      </c>
    </row>
    <row r="123" spans="1:7" x14ac:dyDescent="0.25">
      <c r="A123" s="10">
        <v>45017</v>
      </c>
      <c r="B123" s="11">
        <v>135.89871194256199</v>
      </c>
      <c r="C123" s="11">
        <v>5.42</v>
      </c>
      <c r="D123" s="12">
        <f t="shared" si="4"/>
        <v>1.0542</v>
      </c>
      <c r="E123" s="12">
        <f t="shared" si="7"/>
        <v>1.0345892571197661</v>
      </c>
      <c r="F123" s="12">
        <f t="shared" si="5"/>
        <v>1.0189551000508443</v>
      </c>
      <c r="G123" s="26">
        <f t="shared" si="6"/>
        <v>1.8777690513019068E-2</v>
      </c>
    </row>
    <row r="124" spans="1:7" x14ac:dyDescent="0.25">
      <c r="A124" s="10">
        <v>45108</v>
      </c>
      <c r="B124" s="11">
        <v>136.974754471441</v>
      </c>
      <c r="C124" s="11">
        <v>5.56</v>
      </c>
      <c r="D124" s="12">
        <f t="shared" si="4"/>
        <v>1.0556000000000001</v>
      </c>
      <c r="E124" s="12">
        <f t="shared" si="7"/>
        <v>1.0311715486308335</v>
      </c>
      <c r="F124" s="12">
        <f t="shared" si="5"/>
        <v>1.0236899974612392</v>
      </c>
      <c r="G124" s="26">
        <f t="shared" si="6"/>
        <v>2.3413743929005346E-2</v>
      </c>
    </row>
    <row r="125" spans="1:7" x14ac:dyDescent="0.25">
      <c r="A125" s="10">
        <v>45200</v>
      </c>
      <c r="B125" s="11">
        <v>137.50294216139099</v>
      </c>
      <c r="C125" s="11">
        <v>5.44</v>
      </c>
      <c r="D125" s="12">
        <f t="shared" si="4"/>
        <v>1.0544</v>
      </c>
      <c r="E125" s="12">
        <f t="shared" si="7"/>
        <v>1.0256700431950845</v>
      </c>
      <c r="F125" s="12">
        <f t="shared" si="5"/>
        <v>1.0280109153967472</v>
      </c>
      <c r="G125" s="26">
        <f t="shared" si="6"/>
        <v>2.7625785066822818E-2</v>
      </c>
    </row>
    <row r="126" spans="1:7" x14ac:dyDescent="0.25">
      <c r="A126" s="10">
        <v>45292</v>
      </c>
      <c r="B126" s="11">
        <v>138.53164274802401</v>
      </c>
      <c r="C126" s="11">
        <v>5.47</v>
      </c>
      <c r="D126" s="12">
        <f t="shared" si="4"/>
        <v>1.0547</v>
      </c>
      <c r="E126" s="12">
        <f t="shared" si="7"/>
        <v>1.0240208580761208</v>
      </c>
      <c r="F126" s="12">
        <f t="shared" si="5"/>
        <v>1.0299594892837609</v>
      </c>
      <c r="G126" s="26">
        <f t="shared" si="6"/>
        <v>2.9519470675603367E-2</v>
      </c>
    </row>
    <row r="127" spans="1:7" x14ac:dyDescent="0.25">
      <c r="A127" s="10">
        <v>45383</v>
      </c>
      <c r="B127" s="11">
        <v>139.401772675768</v>
      </c>
      <c r="C127" s="11">
        <v>5.51</v>
      </c>
      <c r="D127" s="12">
        <f t="shared" si="4"/>
        <v>1.0550999999999999</v>
      </c>
      <c r="E127" s="12">
        <f t="shared" si="7"/>
        <v>1.0257769973175801</v>
      </c>
      <c r="F127" s="12">
        <f t="shared" si="5"/>
        <v>1.0285861378828924</v>
      </c>
      <c r="G127" s="26">
        <f t="shared" si="6"/>
        <v>2.8185177583920768E-2</v>
      </c>
    </row>
    <row r="128" spans="1:7" x14ac:dyDescent="0.25">
      <c r="A128" s="10">
        <v>45474</v>
      </c>
      <c r="B128" s="11">
        <v>140.05887130109801</v>
      </c>
      <c r="C128" s="11">
        <v>4.92</v>
      </c>
      <c r="D128" s="12">
        <f t="shared" si="4"/>
        <v>1.0491999999999999</v>
      </c>
      <c r="E128" s="12">
        <f t="shared" si="7"/>
        <v>1.0225159507790909</v>
      </c>
      <c r="F128" s="12">
        <f t="shared" si="5"/>
        <v>1.026096462554523</v>
      </c>
      <c r="G128" s="26">
        <f t="shared" si="6"/>
        <v>2.5761760413485137E-2</v>
      </c>
    </row>
    <row r="129" spans="1:7" x14ac:dyDescent="0.25">
      <c r="A129" s="10">
        <v>45566</v>
      </c>
      <c r="B129" s="11">
        <v>140.86749785281401</v>
      </c>
      <c r="C129" s="11">
        <v>4.3899999999999997</v>
      </c>
      <c r="D129" s="12">
        <f t="shared" si="4"/>
        <v>1.0439000000000001</v>
      </c>
      <c r="E129" s="12">
        <f t="shared" si="7"/>
        <v>1.024468972361871</v>
      </c>
      <c r="F129" s="12">
        <f t="shared" si="5"/>
        <v>1.0189669264392962</v>
      </c>
      <c r="G129" s="26">
        <f t="shared" si="6"/>
        <v>1.8789296833867739E-2</v>
      </c>
    </row>
    <row r="130" spans="1:7" x14ac:dyDescent="0.25">
      <c r="A130" s="10">
        <v>45658</v>
      </c>
      <c r="B130" s="11">
        <v>142.175248395046</v>
      </c>
      <c r="C130" s="11">
        <v>4.34</v>
      </c>
      <c r="D130" s="12">
        <f t="shared" ref="D130:D135" si="8">1+C130/100</f>
        <v>1.0434000000000001</v>
      </c>
      <c r="E130" s="12">
        <f t="shared" si="7"/>
        <v>1.026301612936543</v>
      </c>
      <c r="F130" s="12">
        <f t="shared" ref="F130:F135" si="9">IF(E130="","",D130/E130)</f>
        <v>1.0166601970102471</v>
      </c>
      <c r="G130" s="26">
        <f t="shared" ref="G130:G135" si="10">IF(F130="","",LN(F130))</f>
        <v>1.6522938334484559E-2</v>
      </c>
    </row>
    <row r="131" spans="1:7" x14ac:dyDescent="0.25">
      <c r="A131" s="10">
        <v>45748</v>
      </c>
      <c r="B131" s="11">
        <v>142.877908493738</v>
      </c>
      <c r="C131" s="11">
        <v>4.42</v>
      </c>
      <c r="D131" s="12">
        <f t="shared" si="8"/>
        <v>1.0442</v>
      </c>
      <c r="E131" s="12">
        <f t="shared" si="7"/>
        <v>1.024936094794541</v>
      </c>
      <c r="F131" s="12">
        <f t="shared" si="9"/>
        <v>1.0187952256763098</v>
      </c>
      <c r="G131" s="26">
        <f t="shared" si="10"/>
        <v>1.8620777889481094E-2</v>
      </c>
    </row>
    <row r="132" spans="1:7" x14ac:dyDescent="0.25">
      <c r="A132" s="10">
        <v>45839</v>
      </c>
      <c r="B132" s="11">
        <f t="shared" ref="B132:B134" si="11">B131*B141</f>
        <v>144.12695393952768</v>
      </c>
      <c r="C132" s="11">
        <v>4.07</v>
      </c>
      <c r="D132" s="12">
        <f t="shared" si="8"/>
        <v>1.0407</v>
      </c>
      <c r="E132" s="12">
        <f t="shared" si="7"/>
        <v>1.0290455192208718</v>
      </c>
      <c r="F132" s="12">
        <f t="shared" si="9"/>
        <v>1.0113255250243469</v>
      </c>
      <c r="G132" s="26">
        <f t="shared" si="10"/>
        <v>1.1261871421912626E-2</v>
      </c>
    </row>
    <row r="133" spans="1:7" x14ac:dyDescent="0.25">
      <c r="A133" s="10">
        <v>45931</v>
      </c>
      <c r="B133" s="11">
        <f t="shared" si="11"/>
        <v>144.9208312228659</v>
      </c>
      <c r="C133" s="11">
        <v>3.68</v>
      </c>
      <c r="D133" s="12">
        <f t="shared" si="8"/>
        <v>1.0367999999999999</v>
      </c>
      <c r="E133" s="12">
        <f t="shared" si="7"/>
        <v>1.028774085092979</v>
      </c>
      <c r="F133" s="12">
        <f t="shared" si="9"/>
        <v>1.0078014357314371</v>
      </c>
      <c r="G133" s="26">
        <f t="shared" si="10"/>
        <v>7.7711618827516317E-3</v>
      </c>
    </row>
    <row r="134" spans="1:7" x14ac:dyDescent="0.25">
      <c r="A134" s="10">
        <v>46023</v>
      </c>
      <c r="B134" s="11">
        <f t="shared" si="11"/>
        <v>146.81529089900667</v>
      </c>
      <c r="C134" s="11">
        <v>3.72</v>
      </c>
      <c r="D134" s="12">
        <f t="shared" si="8"/>
        <v>1.0371999999999999</v>
      </c>
      <c r="E134" s="12">
        <f t="shared" ref="E134:E135" si="12">B134/B130</f>
        <v>1.0326360780539516</v>
      </c>
      <c r="F134" s="12">
        <f t="shared" si="9"/>
        <v>1.0044196808953734</v>
      </c>
      <c r="G134" s="26">
        <f t="shared" si="10"/>
        <v>4.4099427881063901E-3</v>
      </c>
    </row>
    <row r="135" spans="1:7" x14ac:dyDescent="0.25">
      <c r="A135" s="10">
        <v>46113</v>
      </c>
      <c r="B135" s="11">
        <f>B134*B144</f>
        <v>147.82652875992179</v>
      </c>
      <c r="C135" s="11">
        <v>3.81</v>
      </c>
      <c r="D135" s="12">
        <f t="shared" si="8"/>
        <v>1.0381</v>
      </c>
      <c r="E135" s="12">
        <f t="shared" si="12"/>
        <v>1.0346353072938541</v>
      </c>
      <c r="F135" s="12">
        <f t="shared" si="9"/>
        <v>1.0033487091361768</v>
      </c>
      <c r="G135" s="26">
        <f t="shared" si="10"/>
        <v>3.343114695694331E-3</v>
      </c>
    </row>
    <row r="141" spans="1:7" x14ac:dyDescent="0.25">
      <c r="B141" s="9">
        <v>1.0087420473812747</v>
      </c>
    </row>
    <row r="142" spans="1:7" x14ac:dyDescent="0.25">
      <c r="B142" s="9">
        <v>1.005508180542491</v>
      </c>
    </row>
    <row r="143" spans="1:7" x14ac:dyDescent="0.25">
      <c r="B143" s="9">
        <v>1.0130723765531497</v>
      </c>
    </row>
    <row r="144" spans="1:7" x14ac:dyDescent="0.25">
      <c r="B144" s="9">
        <v>1.006887823841256</v>
      </c>
    </row>
  </sheetData>
  <pageMargins left="0.75" right="0.75" top="1" bottom="1" header="0.511811023622047" footer="0.511811023622047"/>
  <pageSetup paperSize="9" orientation="portrait" horizontalDpi="300" verticalDpi="3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E155-CD65-4195-8B55-D5B26B54C526}">
  <dimension ref="A1:B143"/>
  <sheetViews>
    <sheetView workbookViewId="0">
      <selection activeCell="B14" sqref="B14:B143"/>
    </sheetView>
  </sheetViews>
  <sheetFormatPr defaultRowHeight="15" x14ac:dyDescent="0.25"/>
  <cols>
    <col min="1" max="1" width="16.28515625" bestFit="1" customWidth="1"/>
  </cols>
  <sheetData>
    <row r="1" spans="1:2" x14ac:dyDescent="0.25">
      <c r="A1" t="s">
        <v>1230</v>
      </c>
      <c r="B1" t="s">
        <v>1231</v>
      </c>
    </row>
    <row r="2" spans="1:2" x14ac:dyDescent="0.25">
      <c r="A2" s="24">
        <v>32874</v>
      </c>
      <c r="B2">
        <v>65.213896471052294</v>
      </c>
    </row>
    <row r="3" spans="1:2" x14ac:dyDescent="0.25">
      <c r="A3" s="24">
        <v>32964</v>
      </c>
      <c r="B3">
        <v>65.944264917424704</v>
      </c>
    </row>
    <row r="4" spans="1:2" x14ac:dyDescent="0.25">
      <c r="A4" s="24">
        <v>33055</v>
      </c>
      <c r="B4">
        <v>66.509498656261997</v>
      </c>
    </row>
    <row r="5" spans="1:2" x14ac:dyDescent="0.25">
      <c r="A5" s="24">
        <v>33147</v>
      </c>
      <c r="B5">
        <v>67.004710668743698</v>
      </c>
    </row>
    <row r="6" spans="1:2" x14ac:dyDescent="0.25">
      <c r="A6" s="24">
        <v>33239</v>
      </c>
      <c r="B6">
        <v>67.661047048660095</v>
      </c>
    </row>
    <row r="7" spans="1:2" x14ac:dyDescent="0.25">
      <c r="A7" s="24">
        <v>33329</v>
      </c>
      <c r="B7">
        <v>68.1575098519737</v>
      </c>
    </row>
    <row r="8" spans="1:2" x14ac:dyDescent="0.25">
      <c r="A8" s="24">
        <v>33420</v>
      </c>
      <c r="B8">
        <v>68.690039570610097</v>
      </c>
    </row>
    <row r="9" spans="1:2" x14ac:dyDescent="0.25">
      <c r="A9" s="24">
        <v>33512</v>
      </c>
      <c r="B9">
        <v>69.097844140026297</v>
      </c>
    </row>
    <row r="10" spans="1:2" x14ac:dyDescent="0.25">
      <c r="A10" s="24">
        <v>33604</v>
      </c>
      <c r="B10">
        <v>69.3546326400228</v>
      </c>
    </row>
    <row r="11" spans="1:2" x14ac:dyDescent="0.25">
      <c r="A11" s="24">
        <v>33695</v>
      </c>
      <c r="B11">
        <v>69.771550734672104</v>
      </c>
    </row>
    <row r="12" spans="1:2" x14ac:dyDescent="0.25">
      <c r="A12" s="24">
        <v>33786</v>
      </c>
      <c r="B12">
        <v>70.112573896311403</v>
      </c>
    </row>
    <row r="13" spans="1:2" x14ac:dyDescent="0.25">
      <c r="A13" s="24">
        <v>33878</v>
      </c>
      <c r="B13">
        <v>70.595285536298306</v>
      </c>
    </row>
    <row r="14" spans="1:2" x14ac:dyDescent="0.25">
      <c r="A14" s="24">
        <v>33970</v>
      </c>
      <c r="B14">
        <v>70.990911724320299</v>
      </c>
    </row>
    <row r="15" spans="1:2" x14ac:dyDescent="0.25">
      <c r="A15" s="24">
        <v>34060</v>
      </c>
      <c r="B15">
        <v>71.413618723982793</v>
      </c>
    </row>
    <row r="16" spans="1:2" x14ac:dyDescent="0.25">
      <c r="A16" s="24">
        <v>34151</v>
      </c>
      <c r="B16">
        <v>71.838146130804205</v>
      </c>
    </row>
    <row r="17" spans="1:2" x14ac:dyDescent="0.25">
      <c r="A17" s="24">
        <v>34243</v>
      </c>
      <c r="B17">
        <v>72.229823356336595</v>
      </c>
    </row>
    <row r="18" spans="1:2" x14ac:dyDescent="0.25">
      <c r="A18" s="24">
        <v>34335</v>
      </c>
      <c r="B18">
        <v>72.575127048273103</v>
      </c>
    </row>
    <row r="19" spans="1:2" x14ac:dyDescent="0.25">
      <c r="A19" s="24">
        <v>34425</v>
      </c>
      <c r="B19">
        <v>72.925812162216104</v>
      </c>
    </row>
    <row r="20" spans="1:2" x14ac:dyDescent="0.25">
      <c r="A20" s="24">
        <v>34516</v>
      </c>
      <c r="B20">
        <v>73.343797397028993</v>
      </c>
    </row>
    <row r="21" spans="1:2" x14ac:dyDescent="0.25">
      <c r="A21" s="24">
        <v>34608</v>
      </c>
      <c r="B21">
        <v>73.741722134685602</v>
      </c>
    </row>
    <row r="22" spans="1:2" x14ac:dyDescent="0.25">
      <c r="A22" s="24">
        <v>34700</v>
      </c>
      <c r="B22">
        <v>74.141403638937803</v>
      </c>
    </row>
    <row r="23" spans="1:2" x14ac:dyDescent="0.25">
      <c r="A23" s="24">
        <v>34790</v>
      </c>
      <c r="B23">
        <v>74.497799169927106</v>
      </c>
    </row>
    <row r="24" spans="1:2" x14ac:dyDescent="0.25">
      <c r="A24" s="24">
        <v>34881</v>
      </c>
      <c r="B24">
        <v>74.864511965021194</v>
      </c>
    </row>
    <row r="25" spans="1:2" x14ac:dyDescent="0.25">
      <c r="A25" s="24">
        <v>34973</v>
      </c>
      <c r="B25">
        <v>75.225376288385704</v>
      </c>
    </row>
    <row r="26" spans="1:2" x14ac:dyDescent="0.25">
      <c r="A26" s="24">
        <v>35065</v>
      </c>
      <c r="B26">
        <v>75.587166082018996</v>
      </c>
    </row>
    <row r="27" spans="1:2" x14ac:dyDescent="0.25">
      <c r="A27" s="24">
        <v>35156</v>
      </c>
      <c r="B27">
        <v>75.900206121671204</v>
      </c>
    </row>
    <row r="28" spans="1:2" x14ac:dyDescent="0.25">
      <c r="A28" s="24">
        <v>35247</v>
      </c>
      <c r="B28">
        <v>76.148470632459706</v>
      </c>
    </row>
    <row r="29" spans="1:2" x14ac:dyDescent="0.25">
      <c r="A29" s="24">
        <v>35339</v>
      </c>
      <c r="B29">
        <v>76.555627522521803</v>
      </c>
    </row>
    <row r="30" spans="1:2" x14ac:dyDescent="0.25">
      <c r="A30" s="24">
        <v>35431</v>
      </c>
      <c r="B30">
        <v>77.012138782085003</v>
      </c>
    </row>
    <row r="31" spans="1:2" x14ac:dyDescent="0.25">
      <c r="A31" s="24">
        <v>35521</v>
      </c>
      <c r="B31">
        <v>77.165344314156897</v>
      </c>
    </row>
    <row r="32" spans="1:2" x14ac:dyDescent="0.25">
      <c r="A32" s="24">
        <v>35612</v>
      </c>
      <c r="B32">
        <v>77.502043857558704</v>
      </c>
    </row>
    <row r="33" spans="1:2" x14ac:dyDescent="0.25">
      <c r="A33" s="24">
        <v>35704</v>
      </c>
      <c r="B33">
        <v>77.760320277230605</v>
      </c>
    </row>
    <row r="34" spans="1:2" x14ac:dyDescent="0.25">
      <c r="A34" s="24">
        <v>35796</v>
      </c>
      <c r="B34">
        <v>77.870848323793595</v>
      </c>
    </row>
    <row r="35" spans="1:2" x14ac:dyDescent="0.25">
      <c r="A35" s="24">
        <v>35886</v>
      </c>
      <c r="B35">
        <v>78.054837051206405</v>
      </c>
    </row>
    <row r="36" spans="1:2" x14ac:dyDescent="0.25">
      <c r="A36" s="24">
        <v>35977</v>
      </c>
      <c r="B36">
        <v>78.385485922210606</v>
      </c>
    </row>
    <row r="37" spans="1:2" x14ac:dyDescent="0.25">
      <c r="A37" s="24">
        <v>36069</v>
      </c>
      <c r="B37">
        <v>78.606382555270201</v>
      </c>
    </row>
    <row r="38" spans="1:2" x14ac:dyDescent="0.25">
      <c r="A38" s="24">
        <v>36161</v>
      </c>
      <c r="B38">
        <v>78.860936102052307</v>
      </c>
    </row>
    <row r="39" spans="1:2" x14ac:dyDescent="0.25">
      <c r="A39" s="24">
        <v>36251</v>
      </c>
      <c r="B39">
        <v>79.1597921792048</v>
      </c>
    </row>
    <row r="40" spans="1:2" x14ac:dyDescent="0.25">
      <c r="A40" s="24">
        <v>36342</v>
      </c>
      <c r="B40">
        <v>79.439521921262994</v>
      </c>
    </row>
    <row r="41" spans="1:2" x14ac:dyDescent="0.25">
      <c r="A41" s="24">
        <v>36434</v>
      </c>
      <c r="B41">
        <v>79.880211581538305</v>
      </c>
    </row>
    <row r="42" spans="1:2" x14ac:dyDescent="0.25">
      <c r="A42" s="24">
        <v>36526</v>
      </c>
      <c r="B42">
        <v>80.411557448755005</v>
      </c>
    </row>
    <row r="43" spans="1:2" x14ac:dyDescent="0.25">
      <c r="A43" s="24">
        <v>36617</v>
      </c>
      <c r="B43">
        <v>80.911921313846605</v>
      </c>
    </row>
    <row r="44" spans="1:2" x14ac:dyDescent="0.25">
      <c r="A44" s="24">
        <v>36708</v>
      </c>
      <c r="B44">
        <v>81.385170585723003</v>
      </c>
    </row>
    <row r="45" spans="1:2" x14ac:dyDescent="0.25">
      <c r="A45" s="24">
        <v>36800</v>
      </c>
      <c r="B45">
        <v>81.824058167029904</v>
      </c>
    </row>
    <row r="46" spans="1:2" x14ac:dyDescent="0.25">
      <c r="A46" s="24">
        <v>36892</v>
      </c>
      <c r="B46">
        <v>82.364454528845499</v>
      </c>
    </row>
    <row r="47" spans="1:2" x14ac:dyDescent="0.25">
      <c r="A47" s="24">
        <v>36982</v>
      </c>
      <c r="B47">
        <v>82.859956123276504</v>
      </c>
    </row>
    <row r="48" spans="1:2" x14ac:dyDescent="0.25">
      <c r="A48" s="24">
        <v>37073</v>
      </c>
      <c r="B48">
        <v>83.1855687563408</v>
      </c>
    </row>
    <row r="49" spans="1:2" x14ac:dyDescent="0.25">
      <c r="A49" s="24">
        <v>37165</v>
      </c>
      <c r="B49">
        <v>83.446420928582896</v>
      </c>
    </row>
    <row r="50" spans="1:2" x14ac:dyDescent="0.25">
      <c r="A50" s="24">
        <v>37257</v>
      </c>
      <c r="B50">
        <v>83.709382789100403</v>
      </c>
    </row>
    <row r="51" spans="1:2" x14ac:dyDescent="0.25">
      <c r="A51" s="24">
        <v>37347</v>
      </c>
      <c r="B51">
        <v>84.001713192702695</v>
      </c>
    </row>
    <row r="52" spans="1:2" x14ac:dyDescent="0.25">
      <c r="A52" s="24">
        <v>37438</v>
      </c>
      <c r="B52">
        <v>84.403759787121899</v>
      </c>
    </row>
    <row r="53" spans="1:2" x14ac:dyDescent="0.25">
      <c r="A53" s="24">
        <v>37530</v>
      </c>
      <c r="B53">
        <v>84.893534493954903</v>
      </c>
    </row>
    <row r="54" spans="1:2" x14ac:dyDescent="0.25">
      <c r="A54" s="24">
        <v>37622</v>
      </c>
      <c r="B54">
        <v>85.3091709968987</v>
      </c>
    </row>
    <row r="55" spans="1:2" x14ac:dyDescent="0.25">
      <c r="A55" s="24">
        <v>37712</v>
      </c>
      <c r="B55">
        <v>85.609421559560701</v>
      </c>
    </row>
    <row r="56" spans="1:2" x14ac:dyDescent="0.25">
      <c r="A56" s="24">
        <v>37803</v>
      </c>
      <c r="B56">
        <v>86.098840785630898</v>
      </c>
    </row>
    <row r="57" spans="1:2" x14ac:dyDescent="0.25">
      <c r="A57" s="24">
        <v>37895</v>
      </c>
      <c r="B57">
        <v>86.623545903186795</v>
      </c>
    </row>
    <row r="58" spans="1:2" x14ac:dyDescent="0.25">
      <c r="A58" s="24">
        <v>37987</v>
      </c>
      <c r="B58">
        <v>87.241859653510602</v>
      </c>
    </row>
    <row r="59" spans="1:2" x14ac:dyDescent="0.25">
      <c r="A59" s="24">
        <v>38078</v>
      </c>
      <c r="B59">
        <v>87.945894734929894</v>
      </c>
    </row>
    <row r="60" spans="1:2" x14ac:dyDescent="0.25">
      <c r="A60" s="24">
        <v>38169</v>
      </c>
      <c r="B60">
        <v>88.503951387730993</v>
      </c>
    </row>
    <row r="61" spans="1:2" x14ac:dyDescent="0.25">
      <c r="A61" s="24">
        <v>38261</v>
      </c>
      <c r="B61">
        <v>89.190057454758303</v>
      </c>
    </row>
    <row r="62" spans="1:2" x14ac:dyDescent="0.25">
      <c r="A62" s="24">
        <v>38353</v>
      </c>
      <c r="B62">
        <v>89.901958538412998</v>
      </c>
    </row>
    <row r="63" spans="1:2" x14ac:dyDescent="0.25">
      <c r="A63" s="24">
        <v>38443</v>
      </c>
      <c r="B63">
        <v>90.549939952740999</v>
      </c>
    </row>
    <row r="64" spans="1:2" x14ac:dyDescent="0.25">
      <c r="A64" s="24">
        <v>38534</v>
      </c>
      <c r="B64">
        <v>91.375184328029604</v>
      </c>
    </row>
    <row r="65" spans="1:2" x14ac:dyDescent="0.25">
      <c r="A65" s="24">
        <v>38626</v>
      </c>
      <c r="B65">
        <v>92.125734935303996</v>
      </c>
    </row>
    <row r="66" spans="1:2" x14ac:dyDescent="0.25">
      <c r="A66" s="24">
        <v>38718</v>
      </c>
      <c r="B66">
        <v>92.778596551844998</v>
      </c>
    </row>
    <row r="67" spans="1:2" x14ac:dyDescent="0.25">
      <c r="A67" s="24">
        <v>38808</v>
      </c>
      <c r="B67">
        <v>93.588879908930494</v>
      </c>
    </row>
    <row r="68" spans="1:2" x14ac:dyDescent="0.25">
      <c r="A68" s="24">
        <v>38899</v>
      </c>
      <c r="B68">
        <v>94.242111533336001</v>
      </c>
    </row>
    <row r="69" spans="1:2" x14ac:dyDescent="0.25">
      <c r="A69" s="24">
        <v>38991</v>
      </c>
      <c r="B69">
        <v>94.580055158264898</v>
      </c>
    </row>
    <row r="70" spans="1:2" x14ac:dyDescent="0.25">
      <c r="A70" s="24">
        <v>39083</v>
      </c>
      <c r="B70">
        <v>95.479090467690398</v>
      </c>
    </row>
    <row r="71" spans="1:2" x14ac:dyDescent="0.25">
      <c r="A71" s="24">
        <v>39173</v>
      </c>
      <c r="B71">
        <v>96.143081797715695</v>
      </c>
    </row>
    <row r="72" spans="1:2" x14ac:dyDescent="0.25">
      <c r="A72" s="24">
        <v>39264</v>
      </c>
      <c r="B72">
        <v>96.667936681775004</v>
      </c>
    </row>
    <row r="73" spans="1:2" x14ac:dyDescent="0.25">
      <c r="A73" s="24">
        <v>39356</v>
      </c>
      <c r="B73">
        <v>97.060025100862106</v>
      </c>
    </row>
    <row r="74" spans="1:2" x14ac:dyDescent="0.25">
      <c r="A74" s="24">
        <v>39448</v>
      </c>
      <c r="B74">
        <v>97.419579470730696</v>
      </c>
    </row>
    <row r="75" spans="1:2" x14ac:dyDescent="0.25">
      <c r="A75" s="24">
        <v>39539</v>
      </c>
      <c r="B75">
        <v>97.891043151254195</v>
      </c>
    </row>
    <row r="76" spans="1:2" x14ac:dyDescent="0.25">
      <c r="A76" s="24">
        <v>39630</v>
      </c>
      <c r="B76">
        <v>98.6283647989857</v>
      </c>
    </row>
    <row r="77" spans="1:2" x14ac:dyDescent="0.25">
      <c r="A77" s="24">
        <v>39722</v>
      </c>
      <c r="B77">
        <v>98.867633687647697</v>
      </c>
    </row>
    <row r="78" spans="1:2" x14ac:dyDescent="0.25">
      <c r="A78" s="24">
        <v>39814</v>
      </c>
      <c r="B78">
        <v>98.788755567777002</v>
      </c>
    </row>
    <row r="79" spans="1:2" x14ac:dyDescent="0.25">
      <c r="A79" s="24">
        <v>39904</v>
      </c>
      <c r="B79">
        <v>98.624953232941394</v>
      </c>
    </row>
    <row r="80" spans="1:2" x14ac:dyDescent="0.25">
      <c r="A80" s="24">
        <v>39995</v>
      </c>
      <c r="B80">
        <v>98.742087450053305</v>
      </c>
    </row>
    <row r="81" spans="1:2" x14ac:dyDescent="0.25">
      <c r="A81" s="24">
        <v>40087</v>
      </c>
      <c r="B81">
        <v>99.054352088997902</v>
      </c>
    </row>
    <row r="82" spans="1:2" x14ac:dyDescent="0.25">
      <c r="A82" s="24">
        <v>40179</v>
      </c>
      <c r="B82">
        <v>99.339462588092999</v>
      </c>
    </row>
    <row r="83" spans="1:2" x14ac:dyDescent="0.25">
      <c r="A83" s="24">
        <v>40269</v>
      </c>
      <c r="B83">
        <v>99.824068760912596</v>
      </c>
    </row>
    <row r="84" spans="1:2" x14ac:dyDescent="0.25">
      <c r="A84" s="24">
        <v>40360</v>
      </c>
      <c r="B84">
        <v>100.127620220186</v>
      </c>
    </row>
    <row r="85" spans="1:2" x14ac:dyDescent="0.25">
      <c r="A85" s="24">
        <v>40452</v>
      </c>
      <c r="B85">
        <v>100.708848430808</v>
      </c>
    </row>
    <row r="86" spans="1:2" x14ac:dyDescent="0.25">
      <c r="A86" s="24">
        <v>40544</v>
      </c>
      <c r="B86">
        <v>101.225072809914</v>
      </c>
    </row>
    <row r="87" spans="1:2" x14ac:dyDescent="0.25">
      <c r="A87" s="24">
        <v>40634</v>
      </c>
      <c r="B87">
        <v>101.894605436539</v>
      </c>
    </row>
    <row r="88" spans="1:2" x14ac:dyDescent="0.25">
      <c r="A88" s="24">
        <v>40725</v>
      </c>
      <c r="B88">
        <v>102.507856621179</v>
      </c>
    </row>
    <row r="89" spans="1:2" x14ac:dyDescent="0.25">
      <c r="A89" s="24">
        <v>40817</v>
      </c>
      <c r="B89">
        <v>102.62995900529501</v>
      </c>
    </row>
    <row r="90" spans="1:2" x14ac:dyDescent="0.25">
      <c r="A90" s="24">
        <v>40909</v>
      </c>
      <c r="B90">
        <v>103.231886475167</v>
      </c>
    </row>
    <row r="91" spans="1:2" x14ac:dyDescent="0.25">
      <c r="A91" s="24">
        <v>41000</v>
      </c>
      <c r="B91">
        <v>103.657778665527</v>
      </c>
    </row>
    <row r="92" spans="1:2" x14ac:dyDescent="0.25">
      <c r="A92" s="24">
        <v>41091</v>
      </c>
      <c r="B92">
        <v>104.22672057390299</v>
      </c>
    </row>
    <row r="93" spans="1:2" x14ac:dyDescent="0.25">
      <c r="A93" s="24">
        <v>41183</v>
      </c>
      <c r="B93">
        <v>104.749856788183</v>
      </c>
    </row>
    <row r="94" spans="1:2" x14ac:dyDescent="0.25">
      <c r="A94" s="24">
        <v>41275</v>
      </c>
      <c r="B94">
        <v>105.16533729064</v>
      </c>
    </row>
    <row r="95" spans="1:2" x14ac:dyDescent="0.25">
      <c r="A95" s="24">
        <v>41365</v>
      </c>
      <c r="B95">
        <v>105.391769135584</v>
      </c>
    </row>
    <row r="96" spans="1:2" x14ac:dyDescent="0.25">
      <c r="A96" s="24">
        <v>41456</v>
      </c>
      <c r="B96">
        <v>105.908535912254</v>
      </c>
    </row>
    <row r="97" spans="1:2" x14ac:dyDescent="0.25">
      <c r="A97" s="24">
        <v>41548</v>
      </c>
      <c r="B97">
        <v>106.468294734029</v>
      </c>
    </row>
    <row r="98" spans="1:2" x14ac:dyDescent="0.25">
      <c r="A98" s="24">
        <v>41640</v>
      </c>
      <c r="B98">
        <v>106.872524611123</v>
      </c>
    </row>
    <row r="99" spans="1:2" x14ac:dyDescent="0.25">
      <c r="A99" s="24">
        <v>41730</v>
      </c>
      <c r="B99">
        <v>107.477456946115</v>
      </c>
    </row>
    <row r="100" spans="1:2" x14ac:dyDescent="0.25">
      <c r="A100" s="24">
        <v>41821</v>
      </c>
      <c r="B100">
        <v>107.918737103262</v>
      </c>
    </row>
    <row r="101" spans="1:2" x14ac:dyDescent="0.25">
      <c r="A101" s="24">
        <v>41913</v>
      </c>
      <c r="B101">
        <v>108.02614351728199</v>
      </c>
    </row>
    <row r="102" spans="1:2" x14ac:dyDescent="0.25">
      <c r="A102" s="24">
        <v>42005</v>
      </c>
      <c r="B102">
        <v>107.967295619854</v>
      </c>
    </row>
    <row r="103" spans="1:2" x14ac:dyDescent="0.25">
      <c r="A103" s="24">
        <v>42095</v>
      </c>
      <c r="B103">
        <v>108.587274400111</v>
      </c>
    </row>
    <row r="104" spans="1:2" x14ac:dyDescent="0.25">
      <c r="A104" s="24">
        <v>42186</v>
      </c>
      <c r="B104">
        <v>108.875284803204</v>
      </c>
    </row>
    <row r="105" spans="1:2" x14ac:dyDescent="0.25">
      <c r="A105" s="24">
        <v>42278</v>
      </c>
      <c r="B105">
        <v>108.872710153152</v>
      </c>
    </row>
    <row r="106" spans="1:2" x14ac:dyDescent="0.25">
      <c r="A106" s="24">
        <v>42370</v>
      </c>
      <c r="B106">
        <v>108.77853296021399</v>
      </c>
    </row>
    <row r="107" spans="1:2" x14ac:dyDescent="0.25">
      <c r="A107" s="24">
        <v>42461</v>
      </c>
      <c r="B107">
        <v>109.51762113451601</v>
      </c>
    </row>
    <row r="108" spans="1:2" x14ac:dyDescent="0.25">
      <c r="A108" s="24">
        <v>42552</v>
      </c>
      <c r="B108">
        <v>109.79773424336</v>
      </c>
    </row>
    <row r="109" spans="1:2" x14ac:dyDescent="0.25">
      <c r="A109" s="24">
        <v>42644</v>
      </c>
      <c r="B109">
        <v>110.32956587150601</v>
      </c>
    </row>
    <row r="110" spans="1:2" x14ac:dyDescent="0.25">
      <c r="A110" s="24">
        <v>42736</v>
      </c>
      <c r="B110">
        <v>110.891846532836</v>
      </c>
    </row>
    <row r="111" spans="1:2" x14ac:dyDescent="0.25">
      <c r="A111" s="24">
        <v>42826</v>
      </c>
      <c r="B111">
        <v>111.181346021821</v>
      </c>
    </row>
    <row r="112" spans="1:2" x14ac:dyDescent="0.25">
      <c r="A112" s="24">
        <v>42917</v>
      </c>
      <c r="B112">
        <v>111.75265545718401</v>
      </c>
    </row>
    <row r="113" spans="1:2" x14ac:dyDescent="0.25">
      <c r="A113" s="24">
        <v>43009</v>
      </c>
      <c r="B113">
        <v>112.44034758063999</v>
      </c>
    </row>
    <row r="114" spans="1:2" x14ac:dyDescent="0.25">
      <c r="A114" s="24">
        <v>43101</v>
      </c>
      <c r="B114">
        <v>113.155517752523</v>
      </c>
    </row>
    <row r="115" spans="1:2" x14ac:dyDescent="0.25">
      <c r="A115" s="24">
        <v>43191</v>
      </c>
      <c r="B115">
        <v>113.955328740993</v>
      </c>
    </row>
    <row r="116" spans="1:2" x14ac:dyDescent="0.25">
      <c r="A116" s="24">
        <v>43282</v>
      </c>
      <c r="B116">
        <v>114.44756797307301</v>
      </c>
    </row>
    <row r="117" spans="1:2" x14ac:dyDescent="0.25">
      <c r="A117" s="24">
        <v>43374</v>
      </c>
      <c r="B117">
        <v>114.94032872687001</v>
      </c>
    </row>
    <row r="118" spans="1:2" x14ac:dyDescent="0.25">
      <c r="A118" s="24">
        <v>43466</v>
      </c>
      <c r="B118">
        <v>115.28511248315</v>
      </c>
    </row>
    <row r="119" spans="1:2" x14ac:dyDescent="0.25">
      <c r="A119" s="24">
        <v>43556</v>
      </c>
      <c r="B119">
        <v>115.880956957881</v>
      </c>
    </row>
    <row r="120" spans="1:2" x14ac:dyDescent="0.25">
      <c r="A120" s="24">
        <v>43647</v>
      </c>
      <c r="B120">
        <v>116.249648766755</v>
      </c>
    </row>
    <row r="121" spans="1:2" x14ac:dyDescent="0.25">
      <c r="A121" s="24">
        <v>43739</v>
      </c>
      <c r="B121">
        <v>116.610975008799</v>
      </c>
    </row>
    <row r="122" spans="1:2" x14ac:dyDescent="0.25">
      <c r="A122" s="24">
        <v>43831</v>
      </c>
      <c r="B122">
        <v>117.14932220524</v>
      </c>
    </row>
    <row r="123" spans="1:2" x14ac:dyDescent="0.25">
      <c r="A123" s="24">
        <v>43922</v>
      </c>
      <c r="B123">
        <v>116.71735433996901</v>
      </c>
    </row>
    <row r="124" spans="1:2" x14ac:dyDescent="0.25">
      <c r="A124" s="24">
        <v>44013</v>
      </c>
      <c r="B124">
        <v>117.738757623797</v>
      </c>
    </row>
    <row r="125" spans="1:2" x14ac:dyDescent="0.25">
      <c r="A125" s="24">
        <v>44105</v>
      </c>
      <c r="B125">
        <v>118.53907884252</v>
      </c>
    </row>
    <row r="126" spans="1:2" x14ac:dyDescent="0.25">
      <c r="A126" s="24">
        <v>44197</v>
      </c>
      <c r="B126">
        <v>120.040786185275</v>
      </c>
    </row>
    <row r="127" spans="1:2" x14ac:dyDescent="0.25">
      <c r="A127" s="24">
        <v>44287</v>
      </c>
      <c r="B127">
        <v>121.89960413500501</v>
      </c>
    </row>
    <row r="128" spans="1:2" x14ac:dyDescent="0.25">
      <c r="A128" s="24">
        <v>44378</v>
      </c>
      <c r="B128">
        <v>123.729682831152</v>
      </c>
    </row>
    <row r="129" spans="1:2" x14ac:dyDescent="0.25">
      <c r="A129" s="24">
        <v>44470</v>
      </c>
      <c r="B129">
        <v>125.882311820868</v>
      </c>
    </row>
    <row r="130" spans="1:2" x14ac:dyDescent="0.25">
      <c r="A130" s="24">
        <v>44562</v>
      </c>
      <c r="B130">
        <v>128.440594836261</v>
      </c>
    </row>
    <row r="131" spans="1:2" x14ac:dyDescent="0.25">
      <c r="A131" s="24">
        <v>44652</v>
      </c>
      <c r="B131">
        <v>131.355232047253</v>
      </c>
    </row>
    <row r="132" spans="1:2" x14ac:dyDescent="0.25">
      <c r="A132" s="24">
        <v>44743</v>
      </c>
      <c r="B132">
        <v>132.83410956529301</v>
      </c>
    </row>
    <row r="133" spans="1:2" x14ac:dyDescent="0.25">
      <c r="A133" s="24">
        <v>44835</v>
      </c>
      <c r="B133">
        <v>134.06157572181101</v>
      </c>
    </row>
    <row r="134" spans="1:2" x14ac:dyDescent="0.25">
      <c r="A134" s="24">
        <v>44927</v>
      </c>
      <c r="B134">
        <v>135.282051781924</v>
      </c>
    </row>
    <row r="135" spans="1:2" x14ac:dyDescent="0.25">
      <c r="A135" s="24">
        <v>45017</v>
      </c>
      <c r="B135">
        <v>135.89871194256199</v>
      </c>
    </row>
    <row r="136" spans="1:2" x14ac:dyDescent="0.25">
      <c r="A136" s="24">
        <v>45108</v>
      </c>
      <c r="B136">
        <v>136.974754471441</v>
      </c>
    </row>
    <row r="137" spans="1:2" x14ac:dyDescent="0.25">
      <c r="A137" s="24">
        <v>45200</v>
      </c>
      <c r="B137">
        <v>137.50294216139099</v>
      </c>
    </row>
    <row r="138" spans="1:2" x14ac:dyDescent="0.25">
      <c r="A138" s="24">
        <v>45292</v>
      </c>
      <c r="B138">
        <v>138.53164274802401</v>
      </c>
    </row>
    <row r="139" spans="1:2" x14ac:dyDescent="0.25">
      <c r="A139" s="24">
        <v>45383</v>
      </c>
      <c r="B139">
        <v>139.401772675768</v>
      </c>
    </row>
    <row r="140" spans="1:2" x14ac:dyDescent="0.25">
      <c r="A140" s="24">
        <v>45474</v>
      </c>
      <c r="B140">
        <v>140.05887130109801</v>
      </c>
    </row>
    <row r="141" spans="1:2" x14ac:dyDescent="0.25">
      <c r="A141" s="24">
        <v>45566</v>
      </c>
      <c r="B141">
        <v>140.86749785281401</v>
      </c>
    </row>
    <row r="142" spans="1:2" x14ac:dyDescent="0.25">
      <c r="A142" s="24">
        <v>45658</v>
      </c>
      <c r="B142">
        <v>142.175248395046</v>
      </c>
    </row>
    <row r="143" spans="1:2" x14ac:dyDescent="0.25">
      <c r="A143" s="24">
        <v>45748</v>
      </c>
      <c r="B143">
        <v>142.877908493738</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14</vt:i4>
      </vt:variant>
    </vt:vector>
  </HeadingPairs>
  <TitlesOfParts>
    <vt:vector size="14" baseType="lpstr">
      <vt:lpstr>statadata</vt:lpstr>
      <vt:lpstr>BR_extended</vt:lpstr>
      <vt:lpstr>BR_extended_values</vt:lpstr>
      <vt:lpstr>Spread</vt:lpstr>
      <vt:lpstr>Spread synthetic</vt:lpstr>
      <vt:lpstr>Brazil_interest</vt:lpstr>
      <vt:lpstr>PIB</vt:lpstr>
      <vt:lpstr>crescimento PIB</vt:lpstr>
      <vt:lpstr>INV</vt:lpstr>
      <vt:lpstr>balança comercial_bens</vt:lpstr>
      <vt:lpstr>balança comercial</vt:lpstr>
      <vt:lpstr>PIB em dol</vt:lpstr>
      <vt:lpstr>logRus</vt:lpstr>
      <vt:lpstr>US GDP deflator - FRED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Celso Yukio Nozema</dc:creator>
  <cp:lastModifiedBy>Celso Yukio Nozema</cp:lastModifiedBy>
  <cp:lastPrinted>2026-08-07T20:20:45Z</cp:lastPrinted>
  <dcterms:created xsi:type="dcterms:W3CDTF">2026-08-06T00:48:48Z</dcterms:created>
  <dcterms:modified xsi:type="dcterms:W3CDTF">2026-08-08T18:50:27Z</dcterms:modified>
</cp:coreProperties>
</file>